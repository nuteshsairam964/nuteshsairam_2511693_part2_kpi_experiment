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A75D8E34FA243E/Documents/"/>
    </mc:Choice>
  </mc:AlternateContent>
  <xr:revisionPtr revIDLastSave="349" documentId="8_{837F363E-FE31-46FB-B2B7-E5F8B6B1F6B1}" xr6:coauthVersionLast="47" xr6:coauthVersionMax="47" xr10:uidLastSave="{299C7968-A5E8-4846-8D3B-E5B701E4E057}"/>
  <bookViews>
    <workbookView xWindow="-110" yWindow="-110" windowWidth="19420" windowHeight="11500" firstSheet="1" activeTab="2" xr2:uid="{A19ABC76-72A1-49FF-BAB9-3922054A0537}"/>
  </bookViews>
  <sheets>
    <sheet name="Data Quality Check" sheetId="2" r:id="rId1"/>
    <sheet name="experiment data" sheetId="1" r:id="rId2"/>
    <sheet name="Experiment Summary" sheetId="3" r:id="rId3"/>
    <sheet name="Hypothesis Test" sheetId="4" r:id="rId4"/>
    <sheet name="Guardrail Metrics" sheetId="5" r:id="rId5"/>
  </sheets>
  <definedNames>
    <definedName name="_xlnm._FilterDatabase" localSheetId="1" hidden="1">'experiment data'!$A$1:$P$1409</definedName>
    <definedName name="_xlchart.v1.0" hidden="1">'experiment data'!$L$1</definedName>
    <definedName name="_xlchart.v1.1" hidden="1">'experiment data'!$L$2:$L$1409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B6" i="2"/>
  <c r="B3" i="2"/>
  <c r="F3" i="2" l="1"/>
  <c r="B4" i="2"/>
  <c r="F4" i="2"/>
  <c r="B5" i="2"/>
  <c r="B2" i="1"/>
  <c r="C2" i="1"/>
  <c r="D2" i="1"/>
  <c r="B3" i="1"/>
  <c r="C3" i="1"/>
  <c r="D3" i="1"/>
  <c r="B4" i="1"/>
  <c r="C4" i="1"/>
  <c r="D4" i="1"/>
  <c r="B5" i="1"/>
  <c r="C5" i="1"/>
  <c r="D5" i="1"/>
  <c r="C2" i="3"/>
  <c r="D2" i="3"/>
  <c r="B3" i="3"/>
  <c r="C3" i="3"/>
  <c r="D3" i="3"/>
  <c r="B4" i="3"/>
  <c r="C4" i="3"/>
  <c r="D4" i="3"/>
  <c r="B5" i="3"/>
  <c r="C5" i="3"/>
  <c r="D5" i="3"/>
  <c r="B6" i="3"/>
  <c r="C6" i="3"/>
  <c r="D6" i="3"/>
  <c r="B7" i="3"/>
  <c r="C7" i="3"/>
  <c r="D7" i="3"/>
  <c r="B2" i="5"/>
  <c r="C2" i="5"/>
  <c r="D2" i="5"/>
  <c r="B3" i="5"/>
  <c r="C3" i="5"/>
  <c r="D3" i="5"/>
  <c r="B4" i="5"/>
  <c r="C4" i="5"/>
  <c r="D4" i="5"/>
  <c r="B5" i="5"/>
  <c r="C5" i="5"/>
  <c r="D5" i="5"/>
  <c r="B2" i="4"/>
  <c r="C2" i="4"/>
  <c r="D2" i="4"/>
  <c r="B3" i="4"/>
  <c r="C3" i="4"/>
  <c r="D3" i="4"/>
  <c r="B4" i="4"/>
  <c r="C4" i="4"/>
  <c r="D4" i="4"/>
  <c r="B5" i="4"/>
  <c r="C5" i="4"/>
  <c r="D5" i="4"/>
</calcChain>
</file>

<file path=xl/sharedStrings.xml><?xml version="1.0" encoding="utf-8"?>
<sst xmlns="http://schemas.openxmlformats.org/spreadsheetml/2006/main" count="8435" uniqueCount="1471">
  <si>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</si>
  <si>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</si>
  <si>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</si>
  <si>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</si>
  <si>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</si>
  <si>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</si>
  <si>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</si>
  <si>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</si>
  <si>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</si>
  <si>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</si>
  <si>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</si>
  <si>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</si>
  <si>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</si>
  <si>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</si>
  <si>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</si>
  <si>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</si>
  <si>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</si>
  <si>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</si>
  <si>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</si>
  <si>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</si>
  <si>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</si>
  <si>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</si>
  <si>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</si>
  <si>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</si>
  <si>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</si>
  <si>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</si>
  <si>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</si>
  <si>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East</t>
  </si>
  <si>
    <t>Paid Search</t>
  </si>
  <si>
    <t>Premium</t>
  </si>
  <si>
    <t>South</t>
  </si>
  <si>
    <t>USR-100005</t>
  </si>
  <si>
    <t>Tablet</t>
  </si>
  <si>
    <t>USR-100006</t>
  </si>
  <si>
    <t>Referral</t>
  </si>
  <si>
    <t>Social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</si>
  <si>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</si>
  <si>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</si>
  <si>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</si>
  <si>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</si>
  <si>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</si>
  <si>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</si>
  <si>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</si>
  <si>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</si>
  <si>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</si>
  <si>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</si>
  <si>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</si>
  <si>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</si>
  <si>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</si>
  <si>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</si>
  <si>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</si>
  <si>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</si>
  <si>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</si>
  <si>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</si>
  <si>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</si>
  <si>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</si>
  <si>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</si>
  <si>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</si>
  <si>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</si>
  <si>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</si>
  <si>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</si>
  <si>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</si>
  <si>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</si>
  <si>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</si>
  <si>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</si>
  <si>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</si>
  <si>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</si>
  <si>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</si>
  <si>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</si>
  <si>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</si>
  <si>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</si>
  <si>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</si>
  <si>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</si>
  <si>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</si>
  <si>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</si>
  <si>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</si>
  <si>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</si>
  <si>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</si>
  <si>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</si>
  <si>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</si>
  <si>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</si>
  <si>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</si>
  <si>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</si>
  <si>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</si>
  <si>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</si>
  <si>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</si>
  <si>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</si>
  <si>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</si>
  <si>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</si>
  <si>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</si>
  <si>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</si>
  <si>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</si>
  <si>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</si>
  <si>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</si>
  <si>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</si>
  <si>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</si>
  <si>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</si>
  <si>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</si>
  <si>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</si>
  <si>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</si>
  <si>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</si>
  <si>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</si>
  <si>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</si>
  <si>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</si>
  <si>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</si>
  <si>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</si>
  <si>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</si>
  <si>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</si>
  <si>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</si>
  <si>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</si>
  <si>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</si>
  <si>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</si>
  <si>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</si>
  <si>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</si>
  <si>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</si>
  <si>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</si>
  <si>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</si>
  <si>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</si>
  <si>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</si>
  <si>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</si>
  <si>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</si>
  <si>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</si>
  <si>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</si>
  <si>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</si>
  <si>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</si>
  <si>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</si>
  <si>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</si>
  <si>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</si>
  <si>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</si>
  <si>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</si>
  <si>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</si>
  <si>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</si>
  <si>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</si>
  <si>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</si>
  <si>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</si>
  <si>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</si>
  <si>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</si>
  <si>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</si>
  <si>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</si>
  <si>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</si>
  <si>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</si>
  <si>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</si>
  <si>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</si>
  <si>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</si>
  <si>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</si>
  <si>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</si>
  <si>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</si>
  <si>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</si>
  <si>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</si>
  <si>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</si>
  <si>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</si>
  <si>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</si>
  <si>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</si>
  <si>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</si>
  <si>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</si>
  <si>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</si>
  <si>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</si>
  <si>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</si>
  <si>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</si>
  <si>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</si>
  <si>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</si>
  <si>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</si>
  <si>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</si>
  <si>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</si>
  <si>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</si>
  <si>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</si>
  <si>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</si>
  <si>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</si>
  <si>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</si>
  <si>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</si>
  <si>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</si>
  <si>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</si>
  <si>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</si>
  <si>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</si>
  <si>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</si>
  <si>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</si>
  <si>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</si>
  <si>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</si>
  <si>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</si>
  <si>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</si>
  <si>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</si>
  <si>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</si>
  <si>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</si>
  <si>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</si>
  <si>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</si>
  <si>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</si>
  <si>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</si>
  <si>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</si>
  <si>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</si>
  <si>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</si>
  <si>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</si>
  <si>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</si>
  <si>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</si>
  <si>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</si>
  <si>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</si>
  <si>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</si>
  <si>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</si>
  <si>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</si>
  <si>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</si>
  <si>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</si>
  <si>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</si>
  <si>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</si>
  <si>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</si>
  <si>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</si>
  <si>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</si>
  <si>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</si>
  <si>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</si>
  <si>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</si>
  <si>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</si>
  <si>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</si>
  <si>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</si>
  <si>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</si>
  <si>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</si>
  <si>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</si>
  <si>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</si>
  <si>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</si>
  <si>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</si>
  <si>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</si>
  <si>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</si>
  <si>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</si>
  <si>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</si>
  <si>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</si>
  <si>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</si>
  <si>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</si>
  <si>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</si>
  <si>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</si>
  <si>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</si>
  <si>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</si>
  <si>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</si>
  <si>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</si>
  <si>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</si>
  <si>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</si>
  <si>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</si>
  <si>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</si>
  <si>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</si>
  <si>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</si>
  <si>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</si>
  <si>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</si>
  <si>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</si>
  <si>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</si>
  <si>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</si>
  <si>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</si>
  <si>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</si>
  <si>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</si>
  <si>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</si>
  <si>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</si>
  <si>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</si>
  <si>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</si>
  <si>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</si>
  <si>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</si>
  <si>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</si>
  <si>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</si>
  <si>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</si>
  <si>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</si>
  <si>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</si>
  <si>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</si>
  <si>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</si>
  <si>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</si>
  <si>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</si>
  <si>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</si>
  <si>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</si>
  <si>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</si>
  <si>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</si>
  <si>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</si>
  <si>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</si>
  <si>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</si>
  <si>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</si>
  <si>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</si>
  <si>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</si>
  <si>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</si>
  <si>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</si>
  <si>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</si>
  <si>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</si>
  <si>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</si>
  <si>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</si>
  <si>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</si>
  <si>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</si>
  <si>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</si>
  <si>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</si>
  <si>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</si>
  <si>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</si>
  <si>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</si>
  <si>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</si>
  <si>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</si>
  <si>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</si>
  <si>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</si>
  <si>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</si>
  <si>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</si>
  <si>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</si>
  <si>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</si>
  <si>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</si>
  <si>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</si>
  <si>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</si>
  <si>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</si>
  <si>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</si>
  <si>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</si>
  <si>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</si>
  <si>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</si>
  <si>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</si>
  <si>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</si>
  <si>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</si>
  <si>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</si>
  <si>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</si>
  <si>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</si>
  <si>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</si>
  <si>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</si>
  <si>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</si>
  <si>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</si>
  <si>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</si>
  <si>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</si>
  <si>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</si>
  <si>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</si>
  <si>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</si>
  <si>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</si>
  <si>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</si>
  <si>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</si>
  <si>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</si>
  <si>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</si>
  <si>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</si>
  <si>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</si>
  <si>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</si>
  <si>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</si>
  <si>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</si>
  <si>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</si>
  <si>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</si>
  <si>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</si>
  <si>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</si>
  <si>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</si>
  <si>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</si>
  <si>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</si>
  <si>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</si>
  <si>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</si>
  <si>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</si>
  <si>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</si>
  <si>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</si>
  <si>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</si>
  <si>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</si>
  <si>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</si>
  <si>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</si>
  <si>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</si>
  <si>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</si>
  <si>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</si>
  <si>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</si>
  <si>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</si>
  <si>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</si>
  <si>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</si>
  <si>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</si>
  <si>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</si>
  <si>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</si>
  <si>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</si>
  <si>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</si>
  <si>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</si>
  <si>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</si>
  <si>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</si>
  <si>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</si>
  <si>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</si>
  <si>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</si>
  <si>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</si>
  <si>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</si>
  <si>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</si>
  <si>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</si>
  <si>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</si>
  <si>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</si>
  <si>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</si>
  <si>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</si>
  <si>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</si>
  <si>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</si>
  <si>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</si>
  <si>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</si>
  <si>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</si>
  <si>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</si>
  <si>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</si>
  <si>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</si>
  <si>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</si>
  <si>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</si>
  <si>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</si>
  <si>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</si>
  <si>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</si>
  <si>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</si>
  <si>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</si>
  <si>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</si>
  <si>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</si>
  <si>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</si>
  <si>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</si>
  <si>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</si>
  <si>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</si>
  <si>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</si>
  <si>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</si>
  <si>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</si>
  <si>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</si>
  <si>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</si>
  <si>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</si>
  <si>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</si>
  <si>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</si>
  <si>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</si>
  <si>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</si>
  <si>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</si>
  <si>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</si>
  <si>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</si>
  <si>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</si>
  <si>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</si>
  <si>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</si>
  <si>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</si>
  <si>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</si>
  <si>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</si>
  <si>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</si>
  <si>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</si>
  <si>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</si>
  <si>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</si>
  <si>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</si>
  <si>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</si>
  <si>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</si>
  <si>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</si>
  <si>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</si>
  <si>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</si>
  <si>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</si>
  <si>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</si>
  <si>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</si>
  <si>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</si>
  <si>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</si>
  <si>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</si>
  <si>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</si>
  <si>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</si>
  <si>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</si>
  <si>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</si>
  <si>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</si>
  <si>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</si>
  <si>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</si>
  <si>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</si>
  <si>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</si>
  <si>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</si>
  <si>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</si>
  <si>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</si>
  <si>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</si>
  <si>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</si>
  <si>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</si>
  <si>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</si>
  <si>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</si>
  <si>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</si>
  <si>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</si>
  <si>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</si>
  <si>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</si>
  <si>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</si>
  <si>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</si>
  <si>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</si>
  <si>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</si>
  <si>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</si>
  <si>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</si>
  <si>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</si>
  <si>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</si>
  <si>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</si>
  <si>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</si>
  <si>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</si>
  <si>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</si>
  <si>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</si>
  <si>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</si>
  <si>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</si>
  <si>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</si>
  <si>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</si>
  <si>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</si>
  <si>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</si>
  <si>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</si>
  <si>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</si>
  <si>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</si>
  <si>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</si>
  <si>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</si>
  <si>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</si>
  <si>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</si>
  <si>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</si>
  <si>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</si>
  <si>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</si>
  <si>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</si>
  <si>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</si>
  <si>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</si>
  <si>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</si>
  <si>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</si>
  <si>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</si>
  <si>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</si>
  <si>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</si>
  <si>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</si>
  <si>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</si>
  <si>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</si>
  <si>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</si>
  <si>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</si>
  <si>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</si>
  <si>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</si>
  <si>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</si>
  <si>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</si>
  <si>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</si>
  <si>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</si>
  <si>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</si>
  <si>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</si>
  <si>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</si>
  <si>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</si>
  <si>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</si>
  <si>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</si>
  <si>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</si>
  <si>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</si>
  <si>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</si>
  <si>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</si>
  <si>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</si>
  <si>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</si>
  <si>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</si>
  <si>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</si>
  <si>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</si>
  <si>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</si>
  <si>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</si>
  <si>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</si>
  <si>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</si>
  <si>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</si>
  <si>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</si>
  <si>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</si>
  <si>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</si>
  <si>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</si>
  <si>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</si>
  <si>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</si>
  <si>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</si>
  <si>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</si>
  <si>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</si>
  <si>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</si>
  <si>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</si>
  <si>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</si>
  <si>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</si>
  <si>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</si>
  <si>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</si>
  <si>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</si>
  <si>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</si>
  <si>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</si>
  <si>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</si>
  <si>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</si>
  <si>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</si>
  <si>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</si>
  <si>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</si>
  <si>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</si>
  <si>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</si>
  <si>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</si>
  <si>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</si>
  <si>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</si>
  <si>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</si>
  <si>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</si>
  <si>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</si>
  <si>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</si>
  <si>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</si>
  <si>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</si>
  <si>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</si>
  <si>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</si>
  <si>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</si>
  <si>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</si>
  <si>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</si>
  <si>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</si>
  <si>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</si>
  <si>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</si>
  <si>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</si>
  <si>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</si>
  <si>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</si>
  <si>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</si>
  <si>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</si>
  <si>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</si>
  <si>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</si>
  <si>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</si>
  <si>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</si>
  <si>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</si>
  <si>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</si>
  <si>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</si>
  <si>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</si>
  <si>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</si>
  <si>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</si>
  <si>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</si>
  <si>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</si>
  <si>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</si>
  <si>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</si>
  <si>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</si>
  <si>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</si>
  <si>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</si>
  <si>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</si>
  <si>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</si>
  <si>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</si>
  <si>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</si>
  <si>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</si>
  <si>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</si>
  <si>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</si>
  <si>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</si>
  <si>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</si>
  <si>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</si>
  <si>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</si>
  <si>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</si>
  <si>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</si>
  <si>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</si>
  <si>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</si>
  <si>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</si>
  <si>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</si>
  <si>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</si>
  <si>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</si>
  <si>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</si>
  <si>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</si>
  <si>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</si>
  <si>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</si>
  <si>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</si>
  <si>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</si>
  <si>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</si>
  <si>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</si>
  <si>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</si>
  <si>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</si>
  <si>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</si>
  <si>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</si>
  <si>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</si>
  <si>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</si>
  <si>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</si>
  <si>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</si>
  <si>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</si>
  <si>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</si>
  <si>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</si>
  <si>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</si>
  <si>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</si>
  <si>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</si>
  <si>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</si>
  <si>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</si>
  <si>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</si>
  <si>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</si>
  <si>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</si>
  <si>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</si>
  <si>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</si>
  <si>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</si>
  <si>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</si>
  <si>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</si>
  <si>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</si>
  <si>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</si>
  <si>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</si>
  <si>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</si>
  <si>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</si>
  <si>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</si>
  <si>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</si>
  <si>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</si>
  <si>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</si>
  <si>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</si>
  <si>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</si>
  <si>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</si>
  <si>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</si>
  <si>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</si>
  <si>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</si>
  <si>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</si>
  <si>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</si>
  <si>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</si>
  <si>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</si>
  <si>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</si>
  <si>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</si>
  <si>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</si>
  <si>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</si>
  <si>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</si>
  <si>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</si>
  <si>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</si>
  <si>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</si>
  <si>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</si>
  <si>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</si>
  <si>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</si>
  <si>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</si>
  <si>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</si>
  <si>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</si>
  <si>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</si>
  <si>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</si>
  <si>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</si>
  <si>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</si>
  <si>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</si>
  <si>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</si>
  <si>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</si>
  <si>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</si>
  <si>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</si>
  <si>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</si>
  <si>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</si>
  <si>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</si>
  <si>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</si>
  <si>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</si>
  <si>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</si>
  <si>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</si>
  <si>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</si>
  <si>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</si>
  <si>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</si>
  <si>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</si>
  <si>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</si>
  <si>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</si>
  <si>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</si>
  <si>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</si>
  <si>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</si>
  <si>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</si>
  <si>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</si>
  <si>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</si>
  <si>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</si>
  <si>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</si>
  <si>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</si>
  <si>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</si>
  <si>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</si>
  <si>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</si>
  <si>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</si>
  <si>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</si>
  <si>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</si>
  <si>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</si>
  <si>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</si>
  <si>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</si>
  <si>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</si>
  <si>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</si>
  <si>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</si>
  <si>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</si>
  <si>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</si>
  <si>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</si>
  <si>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</si>
  <si>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</si>
  <si>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</si>
  <si>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</si>
  <si>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</si>
  <si>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</si>
  <si>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</si>
  <si>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</si>
  <si>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</si>
  <si>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</si>
  <si>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</si>
  <si>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</si>
  <si>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</si>
  <si>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</si>
  <si>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</si>
  <si>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</si>
  <si>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</si>
  <si>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</si>
  <si>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</si>
  <si>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</si>
  <si>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</si>
  <si>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</si>
  <si>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</si>
  <si>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</si>
  <si>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</si>
  <si>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</si>
  <si>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</si>
  <si>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</si>
  <si>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</si>
  <si>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</si>
  <si>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</si>
  <si>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</si>
  <si>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</si>
  <si>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</si>
  <si>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</si>
  <si>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</si>
  <si>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</si>
  <si>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</si>
  <si>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</si>
  <si>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</si>
  <si>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</si>
  <si>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</si>
  <si>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</si>
  <si>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</si>
  <si>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</si>
  <si>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</si>
  <si>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</si>
  <si>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</si>
  <si>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</si>
  <si>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</si>
  <si>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</si>
  <si>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</si>
  <si>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</si>
  <si>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</si>
  <si>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</si>
  <si>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</si>
  <si>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</si>
  <si>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</si>
  <si>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</si>
  <si>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</si>
  <si>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</si>
  <si>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</si>
  <si>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</si>
  <si>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</si>
  <si>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</si>
  <si>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</si>
  <si>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</si>
  <si>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</si>
  <si>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</si>
  <si>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</si>
  <si>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</si>
  <si>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</si>
  <si>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</si>
  <si>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</si>
  <si>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</si>
  <si>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</si>
  <si>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</si>
  <si>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</si>
  <si>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</si>
  <si>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</si>
  <si>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</si>
  <si>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</si>
  <si>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</si>
  <si>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</si>
  <si>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</si>
  <si>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</si>
  <si>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</si>
  <si>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</si>
  <si>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</si>
  <si>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</si>
  <si>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</si>
  <si>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</si>
  <si>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</si>
  <si>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</si>
  <si>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</si>
  <si>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</si>
  <si>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</si>
  <si>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</si>
  <si>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</si>
  <si>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</si>
  <si>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</si>
  <si>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</si>
  <si>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</si>
  <si>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</si>
  <si>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</si>
  <si>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</si>
  <si>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</si>
  <si>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</si>
  <si>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</si>
  <si>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</si>
  <si>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</si>
  <si>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</si>
  <si>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</si>
  <si>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</si>
  <si>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</si>
  <si>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</si>
  <si>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</si>
  <si>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</si>
  <si>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</si>
  <si>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</si>
  <si>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</si>
  <si>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</si>
  <si>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</si>
  <si>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</si>
  <si>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</si>
  <si>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</si>
  <si>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</si>
  <si>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</si>
  <si>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</si>
  <si>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</si>
  <si>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</si>
  <si>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</si>
  <si>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</si>
  <si>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</si>
  <si>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</si>
  <si>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</si>
  <si>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</si>
  <si>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</si>
  <si>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</si>
  <si>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</si>
  <si>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</si>
  <si>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</si>
  <si>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</si>
  <si>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</si>
  <si>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</si>
  <si>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</si>
  <si>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</si>
  <si>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</si>
  <si>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</si>
  <si>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</si>
  <si>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</si>
  <si>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</si>
  <si>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</si>
  <si>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</si>
  <si>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</si>
  <si>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</si>
  <si>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</si>
  <si>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</si>
  <si>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</si>
  <si>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</si>
  <si>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</si>
  <si>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</si>
  <si>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</si>
  <si>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</si>
  <si>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</si>
  <si>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</si>
  <si>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</si>
  <si>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</si>
  <si>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</si>
  <si>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</si>
  <si>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</si>
  <si>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</si>
  <si>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</si>
  <si>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</si>
  <si>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</si>
  <si>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</si>
  <si>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</si>
  <si>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</si>
  <si>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</si>
  <si>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</si>
  <si>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</si>
  <si>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</si>
  <si>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</si>
  <si>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</si>
  <si>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</si>
  <si>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</si>
  <si>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</si>
  <si>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</si>
  <si>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</si>
  <si>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</si>
  <si>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</si>
  <si>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</si>
  <si>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</si>
  <si>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</si>
  <si>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</si>
  <si>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</si>
  <si>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</si>
  <si>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</si>
  <si>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</si>
  <si>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</si>
  <si>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</si>
  <si>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</si>
  <si>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</si>
  <si>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</si>
  <si>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</si>
  <si>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</si>
  <si>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</si>
  <si>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</si>
  <si>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</si>
  <si>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</si>
  <si>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</si>
  <si>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</si>
  <si>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</si>
  <si>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</si>
  <si>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</si>
  <si>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</si>
  <si>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</si>
  <si>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</si>
  <si>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</si>
  <si>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</si>
  <si>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</si>
  <si>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</si>
  <si>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</si>
  <si>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</si>
  <si>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</si>
  <si>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</si>
  <si>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</si>
  <si>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</si>
  <si>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</si>
  <si>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</si>
  <si>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</si>
  <si>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</si>
  <si>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</si>
  <si>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</si>
  <si>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</si>
  <si>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</si>
  <si>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</si>
  <si>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</si>
  <si>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</si>
  <si>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</si>
  <si>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</si>
  <si>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</si>
  <si>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</si>
  <si>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</si>
  <si>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</si>
  <si>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</si>
  <si>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</si>
  <si>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</si>
  <si>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</si>
  <si>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</si>
  <si>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</si>
  <si>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</si>
  <si>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</si>
  <si>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</si>
  <si>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</si>
  <si>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</si>
  <si>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</si>
  <si>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</si>
  <si>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</si>
  <si>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</si>
  <si>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</si>
  <si>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</si>
  <si>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</si>
  <si>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</si>
  <si>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</si>
  <si>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</si>
  <si>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</si>
  <si>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</si>
  <si>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</si>
  <si>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</si>
  <si>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</si>
  <si>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</si>
  <si>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</si>
  <si>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</si>
  <si>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</si>
  <si>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</si>
  <si>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</si>
  <si>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</si>
  <si>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</si>
  <si>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</si>
  <si>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</si>
  <si>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</si>
  <si>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</si>
  <si>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</si>
  <si>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</si>
  <si>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</si>
  <si>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</si>
  <si>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</si>
  <si>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</si>
  <si>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</si>
  <si>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</si>
  <si>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</si>
  <si>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</si>
  <si>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</si>
  <si>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</si>
  <si>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</si>
  <si>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</si>
  <si>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</si>
  <si>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</si>
  <si>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</si>
  <si>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</si>
  <si>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</si>
  <si>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</si>
  <si>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</si>
  <si>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</si>
  <si>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</si>
  <si>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</si>
  <si>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</si>
  <si>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</si>
  <si>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</si>
  <si>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</si>
  <si>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</si>
  <si>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</si>
  <si>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</si>
  <si>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</si>
  <si>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</si>
  <si>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</si>
  <si>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</si>
  <si>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</si>
  <si>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</si>
  <si>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</si>
  <si>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</si>
  <si>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</si>
  <si>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</si>
  <si>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</si>
  <si>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</si>
  <si>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</si>
  <si>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</si>
  <si>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</si>
  <si>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</si>
  <si>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</si>
  <si>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</si>
  <si>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</si>
  <si>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</si>
  <si>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</si>
  <si>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</si>
  <si>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</si>
  <si>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</si>
  <si>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</si>
  <si>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</si>
  <si>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</si>
  <si>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</si>
  <si>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</si>
  <si>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</si>
  <si>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</si>
  <si>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</si>
  <si>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</si>
  <si>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</si>
  <si>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</si>
  <si>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</si>
  <si>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</si>
  <si>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</si>
  <si>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</si>
  <si>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</si>
  <si>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</si>
  <si>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</si>
  <si>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</si>
  <si>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</si>
  <si>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</si>
  <si>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</si>
  <si>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</si>
  <si>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</si>
  <si>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</si>
  <si>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</si>
  <si>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</si>
  <si>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</si>
  <si>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</si>
  <si>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</si>
  <si>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</si>
  <si>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</si>
  <si>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</si>
  <si>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</si>
  <si>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</si>
  <si>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</si>
  <si>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</si>
  <si>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</si>
  <si>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</si>
  <si>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</si>
  <si>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</si>
  <si>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</si>
  <si>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</si>
  <si>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</si>
  <si>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</si>
  <si>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</si>
  <si>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</si>
  <si>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</si>
  <si>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</si>
  <si>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</si>
  <si>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</si>
  <si>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</si>
  <si>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</si>
  <si>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</si>
  <si>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</si>
  <si>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</si>
  <si>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</si>
  <si>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</si>
  <si>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</si>
  <si>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</si>
  <si>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</si>
  <si>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</si>
  <si>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</si>
  <si>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</si>
  <si>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</si>
  <si>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</si>
  <si>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</si>
  <si>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</si>
  <si>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</si>
  <si>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</si>
  <si>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</si>
  <si>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</si>
  <si>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</si>
  <si>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</si>
  <si>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</si>
  <si>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</si>
  <si>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</si>
  <si>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</si>
  <si>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</si>
  <si>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</si>
  <si>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</si>
  <si>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</si>
  <si>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</si>
  <si>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</si>
  <si>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</si>
  <si>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</si>
  <si>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</si>
  <si>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</si>
  <si>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</si>
  <si>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</si>
  <si>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</si>
  <si>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</si>
  <si>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</si>
  <si>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</si>
  <si>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</si>
  <si>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</si>
  <si>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</si>
  <si>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</si>
  <si>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</si>
  <si>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</si>
  <si>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</si>
  <si>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</si>
  <si>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</si>
  <si>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</si>
  <si>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</si>
  <si>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</si>
  <si>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</si>
  <si>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</si>
  <si>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</si>
  <si>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</si>
  <si>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</si>
  <si>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</si>
  <si>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</si>
  <si>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</si>
  <si>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</si>
  <si>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</si>
  <si>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</si>
  <si>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</si>
  <si>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</si>
  <si>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</si>
  <si>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</si>
  <si>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</si>
  <si>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</si>
  <si>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</si>
  <si>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</si>
  <si>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</si>
  <si>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</si>
  <si>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</si>
  <si>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</si>
  <si>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</si>
  <si>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</si>
  <si>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</si>
  <si>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</si>
  <si>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</si>
  <si>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</si>
  <si>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</si>
  <si>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</si>
  <si>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</si>
  <si>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</si>
  <si>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</si>
  <si>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</si>
  <si>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</si>
  <si>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</si>
  <si>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</si>
  <si>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</si>
  <si>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</si>
  <si>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</si>
  <si>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</si>
  <si>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</si>
  <si>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</si>
  <si>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</si>
  <si>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</si>
  <si>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</si>
  <si>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</si>
  <si>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</si>
  <si>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</si>
  <si>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</si>
  <si>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</si>
  <si>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</si>
  <si>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</si>
  <si>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</si>
  <si>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</si>
  <si>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</si>
  <si>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</si>
  <si>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</si>
  <si>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</si>
  <si>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</si>
  <si>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</si>
  <si>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</si>
  <si>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</si>
  <si>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</si>
  <si>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</si>
  <si>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</si>
  <si>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</si>
  <si>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</si>
  <si>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</si>
  <si>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</si>
  <si>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</si>
  <si>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</si>
  <si>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</si>
  <si>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</si>
  <si>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</si>
  <si>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</si>
  <si>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</si>
  <si>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</si>
  <si>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</si>
  <si>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</si>
  <si>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</si>
  <si>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</si>
  <si>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</si>
  <si>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</si>
  <si>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</si>
  <si>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</si>
  <si>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</si>
  <si>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</si>
  <si>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</si>
  <si>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</si>
  <si>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</si>
  <si>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</si>
  <si>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</si>
  <si>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</si>
  <si>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</si>
  <si>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</si>
  <si>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</si>
  <si>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</si>
  <si>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</si>
  <si>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</si>
  <si>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</si>
  <si>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</si>
  <si>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</si>
  <si>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</si>
  <si>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</si>
  <si>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</si>
  <si>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</si>
  <si>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</si>
  <si>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</si>
  <si>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</si>
  <si>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</si>
  <si>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</si>
  <si>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</si>
  <si>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</si>
  <si>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</si>
  <si>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</si>
  <si>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</si>
  <si>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</si>
  <si>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</si>
  <si>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</si>
  <si>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</si>
  <si>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</si>
  <si>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</si>
  <si>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</si>
  <si>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</si>
  <si>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</si>
  <si>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</si>
  <si>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</si>
  <si>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</si>
  <si>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</si>
  <si>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</si>
  <si>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</si>
  <si>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</si>
  <si>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</si>
  <si>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</si>
  <si>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</si>
  <si>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</si>
  <si>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</si>
  <si>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</si>
  <si>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</si>
  <si>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</si>
  <si>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</si>
  <si>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</si>
  <si>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</si>
  <si>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</si>
  <si>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</si>
  <si>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</si>
  <si>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</si>
  <si>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</si>
  <si>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</si>
  <si>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</si>
  <si>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</si>
  <si>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</si>
  <si>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</si>
  <si>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</si>
  <si>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</si>
  <si>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</si>
  <si>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</si>
  <si>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</si>
  <si>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</si>
  <si>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</si>
  <si>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</si>
  <si>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</si>
  <si>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</si>
  <si>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</si>
  <si>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</si>
  <si>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</si>
  <si>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</si>
  <si>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</si>
  <si>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</si>
  <si>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</si>
  <si>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</si>
  <si>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</si>
  <si>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</si>
  <si>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</si>
  <si>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</si>
  <si>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</si>
  <si>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</si>
  <si>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</si>
  <si>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</si>
  <si>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</si>
  <si>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</si>
  <si>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</si>
  <si>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</si>
  <si>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</si>
  <si>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</si>
  <si>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</si>
  <si>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</si>
  <si>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</si>
  <si>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</si>
  <si>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</si>
  <si>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</si>
  <si>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</si>
  <si>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</si>
  <si>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</si>
  <si>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</si>
  <si>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</si>
  <si>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</si>
  <si>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</si>
  <si>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</si>
  <si>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</si>
  <si>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</si>
  <si>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</si>
  <si>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</si>
  <si>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</si>
  <si>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</si>
  <si>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</si>
  <si>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</si>
  <si>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</si>
  <si>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</si>
  <si>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</si>
  <si>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</si>
  <si>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</si>
  <si>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</si>
  <si>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</si>
  <si>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</si>
  <si>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</si>
  <si>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</si>
  <si>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</si>
  <si>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</si>
  <si>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</si>
  <si>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</si>
  <si>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</si>
  <si>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</si>
  <si>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</si>
  <si>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</si>
  <si>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</si>
  <si>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</si>
  <si>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</si>
  <si>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</si>
  <si>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</si>
  <si>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</si>
  <si>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</si>
  <si>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</si>
  <si>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</si>
  <si>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</si>
  <si>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</si>
  <si>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</si>
  <si>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</si>
  <si>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</si>
  <si>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</si>
  <si>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</si>
  <si>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</si>
  <si>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</si>
  <si>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</si>
  <si>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</si>
  <si>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</si>
  <si>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</si>
  <si>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</si>
  <si>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</si>
  <si>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</si>
  <si>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</si>
  <si>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</si>
  <si>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</si>
  <si>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</si>
  <si>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</si>
  <si>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</si>
  <si>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</si>
  <si>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</si>
  <si>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</si>
  <si>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</si>
  <si>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</si>
  <si>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</si>
  <si>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</si>
  <si>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</si>
  <si>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</si>
  <si>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</si>
  <si>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</si>
  <si>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</si>
  <si>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</si>
  <si>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</si>
  <si>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</si>
  <si>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</si>
  <si>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</si>
  <si>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</si>
  <si>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</si>
  <si>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</si>
  <si>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Check</t>
  </si>
  <si>
    <t>Result</t>
  </si>
  <si>
    <t>Missing Values</t>
  </si>
  <si>
    <t>Duplicate User IDs</t>
  </si>
  <si>
    <t>Column</t>
  </si>
  <si>
    <t>Missing Values Check.</t>
  </si>
  <si>
    <t>Group Count Check</t>
  </si>
  <si>
    <t>Experiment Group</t>
  </si>
  <si>
    <t>Count</t>
  </si>
  <si>
    <t>Duplicate User ID Check</t>
  </si>
  <si>
    <t>Invalid Binary Value Check</t>
  </si>
  <si>
    <t>Invalid Values</t>
  </si>
  <si>
    <t>Revenue Outlier Check</t>
  </si>
  <si>
    <t>Metric</t>
  </si>
  <si>
    <t>Users</t>
  </si>
  <si>
    <t>Landing Page Visit Rate</t>
  </si>
  <si>
    <t>Paid Conversion Rate</t>
  </si>
  <si>
    <t>Revenue per User</t>
  </si>
  <si>
    <t>Converted Users</t>
  </si>
  <si>
    <t>Decision</t>
  </si>
  <si>
    <t>Reject H₀</t>
  </si>
  <si>
    <t>Test Input</t>
  </si>
  <si>
    <t xml:space="preserve">      Value</t>
  </si>
  <si>
    <t>Control Users</t>
  </si>
  <si>
    <t>Treatment Users</t>
  </si>
  <si>
    <t>Control Converted Users</t>
  </si>
  <si>
    <t>Treatment Converted Users</t>
  </si>
  <si>
    <t>Control Conversion Rate</t>
  </si>
  <si>
    <t>Treatment Conversion Rate</t>
  </si>
  <si>
    <t>Test Used</t>
  </si>
  <si>
    <t>The treatment group achieved a paid conversion rate of 7.04%, compared to 3.19% for the control group.</t>
  </si>
  <si>
    <t>This indicates that the treatment significantly improved the paid conversion rate.</t>
  </si>
  <si>
    <t xml:space="preserve">Since the p-value (0.00055) is less than the significance level (0.05), the null hypothesis is rejected. </t>
  </si>
  <si>
    <t>Better Group</t>
  </si>
  <si>
    <t>Refund Rate</t>
  </si>
  <si>
    <t>Support Ticket Rate</t>
  </si>
  <si>
    <t>Average Days to Convert</t>
  </si>
  <si>
    <t>Average Engagement Score</t>
  </si>
  <si>
    <t>Lower refund rate is preerred.</t>
  </si>
  <si>
    <t>Risk</t>
  </si>
  <si>
    <t>Lower support ticket rate is preferred.</t>
  </si>
  <si>
    <t>Lower conversion time is preferred.</t>
  </si>
  <si>
    <t>Higher engagement is preferred.</t>
  </si>
  <si>
    <t>Higher conversion rate is preferred</t>
  </si>
  <si>
    <t>Higher revenue per user is preffered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</si>
</sst>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rlito"/>
    </font>
    <font>
      <b/>
      <sz val="13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1" fillId="0" borderId="0" xfId="0" applyFont="1"/>
    <xf numFmtId="0" fontId="0" fillId="0" borderId="0" xfId="0" applyAlignment="1">
      <alignment wrapText="1"/>
    </xf>
    <xf numFmtId="10" fontId="0" fillId="0" borderId="0" xfId="0" applyNumberFormat="1"/>
    <xf numFmtId="0" fontId="4" fillId="0" borderId="0" xfId="0" applyFont="1"/>
    <xf numFmtId="2" fontId="0" fillId="0" borderId="0" xfId="0" applyNumberFormat="1" applyAlignment="1">
      <alignment vertical="center" wrapText="1"/>
    </xf>
    <xf numFmtId="2" fontId="0" fillId="0" borderId="0" xfId="0" applyNumberFormat="1"/>
    <xf numFmtId="9" fontId="0" fillId="0" borderId="0" xfId="1" applyFont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00000000-6B8C-4948-A6F1-7C1774996B3C}">
          <cx:tx>
            <cx:txData>
              <cx:f>_xlchart.v1.0</cx:f>
              <cx:v>revenue_30d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330216</xdr:colOff>
      <xdr:row>1</xdr:row>
      <xdr:rowOff>61850</xdr:rowOff>
    </xdr:from>
    <xdr:to>
      <xdr:col>24</xdr:col>
      <xdr:colOff>20480</xdr:colOff>
      <xdr:row>12</xdr:row>
      <xdr:rowOff>179147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DCF73D9-0A3A-4AB4-BE80-F17D4BFDF7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49266" y="277750"/>
              <a:ext cx="4567064" cy="26953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6DF7E-08BB-4975-8F9C-CE438BE31818}">
  <dimension ref="A1:T17"/>
  <sheetViews>
    <sheetView zoomScale="84" workbookViewId="0">
      <selection activeCell="Z2" sqref="Z2"/>
    </sheetView>
  </sheetViews>
  <sheetFormatPr defaultRowHeight="14.5"/>
  <cols>
    <col min="1" max="1" width="16.08984375" customWidth="1"/>
    <col min="2" max="2" width="11.90625" customWidth="1"/>
    <col min="5" max="5" width="11.7265625" customWidth="1"/>
    <col min="6" max="6" width="10.36328125" customWidth="1"/>
    <col min="8" max="8" width="25.08984375" bestFit="1" customWidth="1"/>
    <col min="12" max="12" width="19.6328125" customWidth="1"/>
  </cols>
  <sheetData>
    <row r="1" spans="1:20" ht="17">
      <c r="A1" s="5" t="s">
        <v>1431</v>
      </c>
      <c r="E1" s="5" t="s">
        <v>1432</v>
      </c>
      <c r="H1" s="5" t="s">
        <v>1435</v>
      </c>
      <c r="L1" s="5" t="s">
        <v>1436</v>
      </c>
      <c r="P1" s="5"/>
      <c r="T1" s="5" t="s">
        <v>1438</v>
      </c>
    </row>
    <row r="2" spans="1:20" ht="29">
      <c r="A2" s="3" t="s">
        <v>1430</v>
      </c>
      <c r="B2" s="3" t="s">
        <v>1428</v>
      </c>
      <c r="E2" s="3" t="s">
        <v>1433</v>
      </c>
      <c r="F2" s="3" t="s">
        <v>1434</v>
      </c>
      <c r="H2" s="3" t="s">
        <v>1426</v>
      </c>
      <c r="I2" s="3" t="s">
        <v>1427</v>
      </c>
      <c r="L2" s="6" t="s">
        <v>1430</v>
      </c>
      <c r="M2" s="6" t="s">
        <v>1437</v>
      </c>
    </row>
    <row r="3" spans="1:20">
      <c r="A3" s="4" t="s">
        <v>0</v>
      </c>
      <c r="B3" s="4">
        <f>COUNTBLANK('experiment data'!A2:A1409)</f>
        <v>10</v>
      </c>
      <c r="E3" s="4" t="s">
        <v>17</v>
      </c>
      <c r="F3" s="4">
        <f ca="1">COUNTIF('experiment data'!C:C,"Control")</f>
        <v>681</v>
      </c>
      <c r="H3" s="4" t="s">
        <v>1429</v>
      </c>
      <c r="I3" s="4">
        <f>COUNTA('experiment data'!A:A)-COUNTA(_xlfn.UNIQUE('experiment data'!A:A))</f>
        <v>-1</v>
      </c>
      <c r="L3" t="s">
        <v>7</v>
      </c>
      <c r="M3">
        <v>0</v>
      </c>
    </row>
    <row r="4" spans="1:20">
      <c r="A4" s="4" t="s">
        <v>2</v>
      </c>
      <c r="B4" s="4">
        <f ca="1">COUNTBLANK('experiment data'!C2:C1409)</f>
        <v>10</v>
      </c>
      <c r="E4" s="4" t="s">
        <v>716</v>
      </c>
      <c r="F4" s="4">
        <f ca="1">COUNTIF('experiment data'!C:C,"Treatment")</f>
        <v>710</v>
      </c>
      <c r="L4" t="s">
        <v>8</v>
      </c>
      <c r="M4">
        <v>0</v>
      </c>
    </row>
    <row r="5" spans="1:20">
      <c r="A5" s="4" t="s">
        <v>3</v>
      </c>
      <c r="B5" s="4">
        <f ca="1">COUNTBLANK('experiment data'!D2:D1409)</f>
        <v>8</v>
      </c>
      <c r="L5" t="s">
        <v>9</v>
      </c>
      <c r="M5">
        <v>0</v>
      </c>
    </row>
    <row r="6" spans="1:20">
      <c r="A6" s="4" t="s">
        <v>4</v>
      </c>
      <c r="B6" s="4">
        <f>COUNTBLANK('experiment data'!E2:E1409)</f>
        <v>28</v>
      </c>
      <c r="L6" t="s">
        <v>10</v>
      </c>
      <c r="M6">
        <v>0</v>
      </c>
    </row>
    <row r="7" spans="1:20">
      <c r="A7" s="4" t="s">
        <v>5</v>
      </c>
      <c r="B7" s="4">
        <v>24</v>
      </c>
      <c r="L7" t="s">
        <v>13</v>
      </c>
      <c r="M7">
        <v>0</v>
      </c>
    </row>
    <row r="8" spans="1:20">
      <c r="A8" s="4" t="s">
        <v>6</v>
      </c>
      <c r="B8" s="4">
        <v>0</v>
      </c>
    </row>
    <row r="9" spans="1:20" ht="29">
      <c r="A9" s="4" t="s">
        <v>7</v>
      </c>
      <c r="B9" s="4">
        <v>0</v>
      </c>
    </row>
    <row r="10" spans="1:20">
      <c r="A10" s="4" t="s">
        <v>8</v>
      </c>
      <c r="B10" s="4">
        <v>0</v>
      </c>
    </row>
    <row r="11" spans="1:20" ht="29">
      <c r="A11" s="4" t="s">
        <v>9</v>
      </c>
      <c r="B11" s="4">
        <v>0</v>
      </c>
      <c r="E11" s="5"/>
      <c r="H11" s="5"/>
    </row>
    <row r="12" spans="1:20">
      <c r="A12" s="4" t="s">
        <v>10</v>
      </c>
      <c r="B12" s="4">
        <v>0</v>
      </c>
    </row>
    <row r="13" spans="1:20">
      <c r="A13" s="4" t="s">
        <v>11</v>
      </c>
      <c r="B13" s="4">
        <v>0</v>
      </c>
    </row>
    <row r="14" spans="1:20" ht="29">
      <c r="A14" s="4" t="s">
        <v>12</v>
      </c>
      <c r="B14" s="4">
        <v>0</v>
      </c>
    </row>
    <row r="15" spans="1:20">
      <c r="A15" s="4" t="s">
        <v>13</v>
      </c>
      <c r="B15" s="4">
        <v>0</v>
      </c>
    </row>
    <row r="16" spans="1:20">
      <c r="A16" s="4" t="s">
        <v>14</v>
      </c>
      <c r="B16" s="4">
        <v>1336</v>
      </c>
    </row>
    <row r="17" spans="1:2" ht="29">
      <c r="A17" s="4" t="s">
        <v>15</v>
      </c>
      <c r="B17" s="4">
        <v>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7226-F6A5-4C41-AC27-C66E5ACAAF5B}">
  <dimension ref="A1:P1401"/>
  <sheetViews>
    <sheetView zoomScale="71" workbookViewId="0">
      <selection sqref="A1:P1401"/>
    </sheetView>
  </sheetViews>
  <sheetFormatPr defaultRowHeight="14.5"/>
  <cols>
    <col min="1" max="1" width="17" customWidth="1"/>
    <col min="2" max="2" width="13.08984375" customWidth="1"/>
    <col min="3" max="3" width="14.90625" customWidth="1"/>
    <col min="4" max="4" width="13.7265625" customWidth="1"/>
    <col min="5" max="5" width="22.36328125" customWidth="1"/>
    <col min="6" max="6" width="14.6328125" customWidth="1"/>
    <col min="7" max="7" width="10.90625" customWidth="1"/>
    <col min="10" max="10" width="13.36328125" customWidth="1"/>
    <col min="11" max="11" width="11.36328125" customWidth="1"/>
    <col min="14" max="14" width="12.7265625" customWidth="1"/>
    <col min="15" max="15" width="10.08984375" customWidth="1"/>
    <col min="16" max="16" width="13.1796875" customWidth="1"/>
  </cols>
  <sheetData>
    <row r="1" spans="1:16" ht="42">
      <c r="A1" s="1" t="s">
        <v>0</v>
      </c>
      <c r="B1" s="1" t="s">
        <v>1</v>
      </c>
      <c r="C1" s="1" t="s">
        <v>2</v>
      </c>
      <c r="D1" s="1" t="s">
        <v>1459</v>
      </c>
      <c r="E1" s="1" t="s">
        <v>1465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f ca="1">COUNTIF('experiment data'!$C:$C,"Control")</f>
        <v>681</v>
      </c>
      <c r="C2">
        <f ca="1">COUNTIF('experiment data'!$C:$C,"Treatment")</f>
        <v>710</v>
      </c>
      <c r="D2" t="str">
        <f ca="1">IF(B2&lt;C2,"Control","Treatment")</f>
        <v>Control</v>
      </c>
      <c r="E2" t="s">
        <v>1464</v>
      </c>
      <c r="F2" t="s">
        <v>20</v>
      </c>
      <c r="G2" t="s">
        <v>21</v>
      </c>
      <c r="H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f ca="1">COUNTIFS('experiment data'!$C:$C,"Control",'experiment data'!$M:$M,"&gt;0")/COUNTIF('experiment data'!$C:$C,"Control")</f>
        <v>0.14831130690161526</v>
      </c>
      <c r="C3">
        <f ca="1">COUNTIFS('experiment data'!$C:$C,"Treatment",'experiment data'!$M:$M,"&gt;0")/COUNTIF('experiment data'!$C:$C,"Treatment")</f>
        <v>0.24788732394366197</v>
      </c>
      <c r="D3" t="str">
        <f ca="1">IF(B3&lt;C3,"Control","Treatment")</f>
        <v>Control</v>
      </c>
      <c r="E3" t="s">
        <v>1466</v>
      </c>
      <c r="F3" t="s">
        <v>25</v>
      </c>
      <c r="G3" t="s">
        <v>26</v>
      </c>
      <c r="H3">
        <v>1</v>
      </c>
      <c r="L3">
        <v>0</v>
      </c>
      <c r="M3">
        <v>0</v>
      </c>
      <c r="N3">
        <v>0</v>
      </c>
      <c r="P3">
        <v>48.6</v>
      </c>
    </row>
    <row r="4" spans="1:16">
      <c r="A4" t="s">
        <v>1462</v>
      </c>
      <c r="B4" s="11">
        <f ca="1">AVERAGEIFS('experiment data'!$O:$O,'experiment data'!$C:$C,"Control")</f>
        <v>8.8636363636363633</v>
      </c>
      <c r="C4">
        <f ca="1">AVERAGEIFS('experiment data'!$O:$O,'experiment data'!$C:$C,"Treatment")</f>
        <v>6.4</v>
      </c>
      <c r="D4" t="str">
        <f ca="1">IF(B4&lt;C4,"Control","Treatment")</f>
        <v>Treatment</v>
      </c>
      <c r="E4" t="s">
        <v>1467</v>
      </c>
      <c r="F4" t="s">
        <v>28</v>
      </c>
      <c r="G4" t="s">
        <v>29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1463</v>
      </c>
      <c r="B5" s="2">
        <f ca="1">AVERAGEIFS('experiment data'!$P:$P,'experiment data'!$C:$C,"Control")</f>
        <v>57.102370370370423</v>
      </c>
      <c r="C5">
        <f ca="1">AVERAGEIFS('experiment data'!$P:$P,'experiment data'!$C:$C,"Treatment")</f>
        <v>62.940028490028489</v>
      </c>
      <c r="D5" t="str">
        <f ca="1">IF(B5&gt;C5,"Control","Treatment")</f>
        <v>Treatment</v>
      </c>
      <c r="E5" t="s">
        <v>1468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31</v>
      </c>
      <c r="B6" s="2">
        <v>45700</v>
      </c>
      <c r="C6" t="s">
        <v>17</v>
      </c>
      <c r="D6" t="s">
        <v>18</v>
      </c>
      <c r="E6" t="s">
        <v>32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33</v>
      </c>
      <c r="B7" s="2">
        <v>45685</v>
      </c>
      <c r="C7" t="s">
        <v>17</v>
      </c>
      <c r="D7" t="s">
        <v>27</v>
      </c>
      <c r="E7" t="s">
        <v>24</v>
      </c>
      <c r="F7" t="s">
        <v>25</v>
      </c>
      <c r="G7" t="s">
        <v>29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B8" s="2">
        <v>45755</v>
      </c>
      <c r="D8" t="s">
        <v>27</v>
      </c>
      <c r="F8" t="s">
        <v>28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D9" t="s">
        <v>30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J10">
        <v>55.4</v>
      </c>
    </row>
    <row r="11" spans="1:16">
      <c r="A1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J11">
        <v>57.3</v>
      </c>
    </row>
    <row r="12" spans="1:16">
      <c r="A12" t="s">
        <v>27</v>
      </c>
      <c r="B12">
        <v>1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J12">
        <v>63.6</v>
      </c>
    </row>
    <row r="13" spans="1:16">
      <c r="A13" t="s">
        <v>36</v>
      </c>
      <c r="B13" s="2">
        <v>45732</v>
      </c>
      <c r="C13" t="s">
        <v>17</v>
      </c>
      <c r="D13" t="s">
        <v>27</v>
      </c>
      <c r="E13" t="s">
        <v>24</v>
      </c>
      <c r="F13" t="s">
        <v>35</v>
      </c>
      <c r="G13" t="s">
        <v>29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37</v>
      </c>
      <c r="B14" s="2">
        <v>45695</v>
      </c>
      <c r="C14" t="s">
        <v>17</v>
      </c>
      <c r="D14" t="s">
        <v>30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38</v>
      </c>
      <c r="B15" s="2">
        <v>45718</v>
      </c>
      <c r="C15" t="s">
        <v>17</v>
      </c>
      <c r="D15" t="s">
        <v>23</v>
      </c>
      <c r="E15" t="s">
        <v>24</v>
      </c>
      <c r="F15" t="s">
        <v>35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39</v>
      </c>
      <c r="B16" s="2">
        <v>45807</v>
      </c>
      <c r="C16" t="s">
        <v>17</v>
      </c>
      <c r="D16" t="s">
        <v>30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40</v>
      </c>
      <c r="B17" s="2">
        <v>45741</v>
      </c>
      <c r="C17" t="s">
        <v>17</v>
      </c>
      <c r="D17" t="s">
        <v>30</v>
      </c>
      <c r="E17" t="s">
        <v>24</v>
      </c>
      <c r="F17" t="s">
        <v>35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41</v>
      </c>
      <c r="B18" s="2">
        <v>45743</v>
      </c>
      <c r="C18" t="s">
        <v>17</v>
      </c>
      <c r="D18" t="s">
        <v>27</v>
      </c>
      <c r="E18" t="s">
        <v>19</v>
      </c>
      <c r="F18" t="s">
        <v>28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42</v>
      </c>
      <c r="B19" s="2">
        <v>45805</v>
      </c>
      <c r="C19" t="s">
        <v>17</v>
      </c>
      <c r="D19" t="s">
        <v>30</v>
      </c>
      <c r="E19" t="s">
        <v>19</v>
      </c>
      <c r="F19" t="s">
        <v>28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43</v>
      </c>
      <c r="B20" s="2">
        <v>45703</v>
      </c>
      <c r="C20" t="s">
        <v>17</v>
      </c>
      <c r="D20" t="s">
        <v>18</v>
      </c>
      <c r="E20" t="s">
        <v>19</v>
      </c>
      <c r="F20" t="s">
        <v>28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44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45</v>
      </c>
      <c r="B22" s="2">
        <v>45760</v>
      </c>
      <c r="C22" t="s">
        <v>17</v>
      </c>
      <c r="D22" t="s">
        <v>27</v>
      </c>
      <c r="E22" t="s">
        <v>24</v>
      </c>
      <c r="F22" t="s">
        <v>35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46</v>
      </c>
      <c r="B23" s="2">
        <v>45784</v>
      </c>
      <c r="C23" t="s">
        <v>17</v>
      </c>
      <c r="D23" t="s">
        <v>18</v>
      </c>
      <c r="E23" t="s">
        <v>19</v>
      </c>
      <c r="F23" t="s">
        <v>28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47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48</v>
      </c>
      <c r="B25" s="2">
        <v>45748</v>
      </c>
      <c r="C25" t="s">
        <v>17</v>
      </c>
      <c r="D25" t="s">
        <v>27</v>
      </c>
      <c r="E25" t="s">
        <v>24</v>
      </c>
      <c r="F25" t="s">
        <v>28</v>
      </c>
      <c r="G25" t="s">
        <v>29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49</v>
      </c>
      <c r="B26" s="2">
        <v>45710</v>
      </c>
      <c r="C26" t="s">
        <v>17</v>
      </c>
      <c r="D26" t="s">
        <v>18</v>
      </c>
      <c r="E26" t="s">
        <v>24</v>
      </c>
      <c r="F26" t="s">
        <v>28</v>
      </c>
      <c r="G26" t="s">
        <v>29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50</v>
      </c>
      <c r="B27" s="2">
        <v>45740</v>
      </c>
      <c r="C27" t="s">
        <v>17</v>
      </c>
      <c r="D27" t="s">
        <v>27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51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52</v>
      </c>
      <c r="B29" s="2">
        <v>45807</v>
      </c>
      <c r="C29" t="s">
        <v>17</v>
      </c>
      <c r="D29" t="s">
        <v>30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53</v>
      </c>
      <c r="B30" s="2">
        <v>45677</v>
      </c>
      <c r="C30" t="s">
        <v>17</v>
      </c>
      <c r="D30" t="s">
        <v>27</v>
      </c>
      <c r="E30" t="s">
        <v>32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54</v>
      </c>
      <c r="B31" s="2">
        <v>45796</v>
      </c>
      <c r="C31" t="s">
        <v>17</v>
      </c>
      <c r="D31" t="s">
        <v>27</v>
      </c>
      <c r="E31" t="s">
        <v>24</v>
      </c>
      <c r="F31" t="s">
        <v>35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55</v>
      </c>
      <c r="B32" s="2">
        <v>45706</v>
      </c>
      <c r="C32" t="s">
        <v>17</v>
      </c>
      <c r="D32" t="s">
        <v>30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56</v>
      </c>
      <c r="B33" s="2">
        <v>45701</v>
      </c>
      <c r="C33" t="s">
        <v>17</v>
      </c>
      <c r="D33" t="s">
        <v>27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57</v>
      </c>
      <c r="B34" s="2">
        <v>45724</v>
      </c>
      <c r="C34" t="s">
        <v>17</v>
      </c>
      <c r="D34" t="s">
        <v>27</v>
      </c>
      <c r="E34" t="s">
        <v>19</v>
      </c>
      <c r="F34" t="s">
        <v>34</v>
      </c>
      <c r="G34" t="s">
        <v>29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58</v>
      </c>
      <c r="B35" s="2">
        <v>45668</v>
      </c>
      <c r="C35" t="s">
        <v>17</v>
      </c>
      <c r="D35" t="s">
        <v>18</v>
      </c>
      <c r="E35" t="s">
        <v>24</v>
      </c>
      <c r="F35" t="s">
        <v>28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59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60</v>
      </c>
      <c r="B37" s="2">
        <v>45760</v>
      </c>
      <c r="C37" t="s">
        <v>17</v>
      </c>
      <c r="D37" t="s">
        <v>27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61</v>
      </c>
      <c r="B38" s="2">
        <v>45786</v>
      </c>
      <c r="C38" t="s">
        <v>17</v>
      </c>
      <c r="D38" t="s">
        <v>27</v>
      </c>
      <c r="E38" t="s">
        <v>24</v>
      </c>
      <c r="F38" t="s">
        <v>25</v>
      </c>
      <c r="G38" t="s">
        <v>29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62</v>
      </c>
      <c r="B39" s="2">
        <v>45677</v>
      </c>
      <c r="C39" t="s">
        <v>17</v>
      </c>
      <c r="D39" t="s">
        <v>27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63</v>
      </c>
      <c r="B40" s="2">
        <v>45790</v>
      </c>
      <c r="C40" t="s">
        <v>17</v>
      </c>
      <c r="D40" t="s">
        <v>27</v>
      </c>
      <c r="E40" t="s">
        <v>24</v>
      </c>
      <c r="F40" t="s">
        <v>20</v>
      </c>
      <c r="G40" t="s">
        <v>29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64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65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66</v>
      </c>
      <c r="B43" s="2">
        <v>45682</v>
      </c>
      <c r="C43" t="s">
        <v>17</v>
      </c>
      <c r="D43" t="s">
        <v>27</v>
      </c>
      <c r="E43" t="s">
        <v>24</v>
      </c>
      <c r="F43" t="s">
        <v>20</v>
      </c>
      <c r="G43" t="s">
        <v>29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67</v>
      </c>
      <c r="B44" s="2">
        <v>45702</v>
      </c>
      <c r="C44" t="s">
        <v>17</v>
      </c>
      <c r="D44" t="s">
        <v>30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68</v>
      </c>
      <c r="B45" s="2">
        <v>45715</v>
      </c>
      <c r="C45" t="s">
        <v>17</v>
      </c>
      <c r="D45" t="s">
        <v>27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69</v>
      </c>
      <c r="B46" s="2">
        <v>45744</v>
      </c>
      <c r="C46" t="s">
        <v>17</v>
      </c>
      <c r="D46" t="s">
        <v>27</v>
      </c>
      <c r="E46" t="s">
        <v>24</v>
      </c>
      <c r="F46" t="s">
        <v>35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70</v>
      </c>
      <c r="B47" s="2">
        <v>45802</v>
      </c>
      <c r="C47" t="s">
        <v>17</v>
      </c>
      <c r="D47" t="s">
        <v>27</v>
      </c>
      <c r="E47" t="s">
        <v>24</v>
      </c>
      <c r="F47" t="s">
        <v>34</v>
      </c>
      <c r="G47" t="s">
        <v>29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71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72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73</v>
      </c>
      <c r="B50" s="2">
        <v>45665</v>
      </c>
      <c r="C50" t="s">
        <v>17</v>
      </c>
      <c r="D50" t="s">
        <v>18</v>
      </c>
      <c r="E50" t="s">
        <v>24</v>
      </c>
      <c r="F50" t="s">
        <v>35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74</v>
      </c>
      <c r="B51" s="2">
        <v>45663</v>
      </c>
      <c r="C51" t="s">
        <v>17</v>
      </c>
      <c r="D51" t="s">
        <v>23</v>
      </c>
      <c r="E51" t="s">
        <v>19</v>
      </c>
      <c r="F51" t="s">
        <v>28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75</v>
      </c>
      <c r="B52" s="2">
        <v>45669</v>
      </c>
      <c r="C52" t="s">
        <v>17</v>
      </c>
      <c r="D52" t="s">
        <v>18</v>
      </c>
      <c r="E52" t="s">
        <v>24</v>
      </c>
      <c r="F52" t="s">
        <v>35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76</v>
      </c>
      <c r="B53" s="2">
        <v>45702</v>
      </c>
      <c r="C53" t="s">
        <v>17</v>
      </c>
      <c r="D53" t="s">
        <v>27</v>
      </c>
      <c r="E53" t="s">
        <v>19</v>
      </c>
      <c r="F53" t="s">
        <v>20</v>
      </c>
      <c r="G53" t="s">
        <v>29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77</v>
      </c>
      <c r="B54" s="2">
        <v>45726</v>
      </c>
      <c r="C54" t="s">
        <v>17</v>
      </c>
      <c r="D54" t="s">
        <v>30</v>
      </c>
      <c r="E54" t="s">
        <v>32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78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79</v>
      </c>
      <c r="B56" s="2">
        <v>45707</v>
      </c>
      <c r="C56" t="s">
        <v>17</v>
      </c>
      <c r="D56" t="s">
        <v>30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80</v>
      </c>
      <c r="B57" s="2">
        <v>45794</v>
      </c>
      <c r="C57" t="s">
        <v>17</v>
      </c>
      <c r="D57" t="s">
        <v>30</v>
      </c>
      <c r="E57" t="s">
        <v>24</v>
      </c>
      <c r="F57" t="s">
        <v>35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81</v>
      </c>
      <c r="B58" s="2">
        <v>45748</v>
      </c>
      <c r="C58" t="s">
        <v>17</v>
      </c>
      <c r="D58" t="s">
        <v>27</v>
      </c>
      <c r="E58" t="s">
        <v>24</v>
      </c>
      <c r="F58" t="s">
        <v>35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82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83</v>
      </c>
      <c r="B60" s="2">
        <v>45761</v>
      </c>
      <c r="C60" t="s">
        <v>17</v>
      </c>
      <c r="D60" t="s">
        <v>18</v>
      </c>
      <c r="E60" t="s">
        <v>24</v>
      </c>
      <c r="F60" t="s">
        <v>35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84</v>
      </c>
      <c r="B61" s="2">
        <v>45658</v>
      </c>
      <c r="C61" t="s">
        <v>17</v>
      </c>
      <c r="D61" t="s">
        <v>23</v>
      </c>
      <c r="E61" t="s">
        <v>24</v>
      </c>
      <c r="F61" t="s">
        <v>35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85</v>
      </c>
      <c r="B62" s="2">
        <v>45749</v>
      </c>
      <c r="C62" t="s">
        <v>17</v>
      </c>
      <c r="D62" t="s">
        <v>30</v>
      </c>
      <c r="E62" t="s">
        <v>24</v>
      </c>
      <c r="F62" t="s">
        <v>34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86</v>
      </c>
      <c r="B63" s="2">
        <v>45745</v>
      </c>
      <c r="C63" t="s">
        <v>17</v>
      </c>
      <c r="D63" t="s">
        <v>18</v>
      </c>
      <c r="E63" t="s">
        <v>24</v>
      </c>
      <c r="F63" t="s">
        <v>35</v>
      </c>
      <c r="G63" t="s">
        <v>29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87</v>
      </c>
      <c r="B64" s="2">
        <v>45792</v>
      </c>
      <c r="C64" t="s">
        <v>17</v>
      </c>
      <c r="D64" t="s">
        <v>30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88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89</v>
      </c>
      <c r="B66" s="2">
        <v>45723</v>
      </c>
      <c r="C66" t="s">
        <v>17</v>
      </c>
      <c r="D66" t="s">
        <v>30</v>
      </c>
      <c r="E66" t="s">
        <v>19</v>
      </c>
      <c r="F66" t="s">
        <v>28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90</v>
      </c>
      <c r="B67" s="2">
        <v>45807</v>
      </c>
      <c r="C67" t="s">
        <v>17</v>
      </c>
      <c r="D67" t="s">
        <v>30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91</v>
      </c>
      <c r="B68" s="2">
        <v>45664</v>
      </c>
      <c r="C68" t="s">
        <v>17</v>
      </c>
      <c r="D68" t="s">
        <v>30</v>
      </c>
      <c r="E68" t="s">
        <v>19</v>
      </c>
      <c r="F68" t="s">
        <v>25</v>
      </c>
      <c r="G68" t="s">
        <v>29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92</v>
      </c>
      <c r="B69" s="2">
        <v>45785</v>
      </c>
      <c r="C69" t="s">
        <v>17</v>
      </c>
      <c r="D69" t="s">
        <v>23</v>
      </c>
      <c r="E69" t="s">
        <v>24</v>
      </c>
      <c r="F69" t="s">
        <v>35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93</v>
      </c>
      <c r="B70" s="2">
        <v>45735</v>
      </c>
      <c r="C70" t="s">
        <v>17</v>
      </c>
      <c r="D70" t="s">
        <v>27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94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95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96</v>
      </c>
      <c r="B73" s="2">
        <v>45724</v>
      </c>
      <c r="C73" t="s">
        <v>17</v>
      </c>
      <c r="D73" t="s">
        <v>27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97</v>
      </c>
      <c r="B74" s="2">
        <v>45671</v>
      </c>
      <c r="C74" t="s">
        <v>17</v>
      </c>
      <c r="D74" t="s">
        <v>27</v>
      </c>
      <c r="E74" t="s">
        <v>19</v>
      </c>
      <c r="F74" t="s">
        <v>28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98</v>
      </c>
      <c r="B75" s="2">
        <v>45698</v>
      </c>
      <c r="C75" t="s">
        <v>17</v>
      </c>
      <c r="D75" t="s">
        <v>30</v>
      </c>
      <c r="E75" t="s">
        <v>24</v>
      </c>
      <c r="F75" t="s">
        <v>28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99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100</v>
      </c>
      <c r="B77" s="2">
        <v>45666</v>
      </c>
      <c r="C77" t="s">
        <v>17</v>
      </c>
      <c r="D77" t="s">
        <v>30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101</v>
      </c>
      <c r="B78" s="2">
        <v>45764</v>
      </c>
      <c r="C78" t="s">
        <v>17</v>
      </c>
      <c r="D78" t="s">
        <v>18</v>
      </c>
      <c r="E78" t="s">
        <v>24</v>
      </c>
      <c r="F78" t="s">
        <v>34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102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103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104</v>
      </c>
      <c r="B81" s="2">
        <v>45798</v>
      </c>
      <c r="C81" t="s">
        <v>17</v>
      </c>
      <c r="D81" t="s">
        <v>27</v>
      </c>
      <c r="E81" t="s">
        <v>24</v>
      </c>
      <c r="F81" t="s">
        <v>35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105</v>
      </c>
      <c r="B82" s="2">
        <v>45785</v>
      </c>
      <c r="C82" t="s">
        <v>17</v>
      </c>
      <c r="D82" t="s">
        <v>30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106</v>
      </c>
      <c r="B83" s="2">
        <v>45724</v>
      </c>
      <c r="C83" t="s">
        <v>17</v>
      </c>
      <c r="D83" t="s">
        <v>30</v>
      </c>
      <c r="E83" t="s">
        <v>24</v>
      </c>
      <c r="F83" t="s">
        <v>34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107</v>
      </c>
      <c r="B84" s="2">
        <v>45748</v>
      </c>
      <c r="C84" t="s">
        <v>17</v>
      </c>
      <c r="D84" t="s">
        <v>30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108</v>
      </c>
      <c r="B85" s="2">
        <v>45719</v>
      </c>
      <c r="C85" t="s">
        <v>17</v>
      </c>
      <c r="D85" t="s">
        <v>23</v>
      </c>
      <c r="E85" t="s">
        <v>24</v>
      </c>
      <c r="F85" t="s">
        <v>35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109</v>
      </c>
      <c r="B86" s="2">
        <v>45763</v>
      </c>
      <c r="C86" t="s">
        <v>17</v>
      </c>
      <c r="D86" t="s">
        <v>30</v>
      </c>
      <c r="E86" t="s">
        <v>24</v>
      </c>
      <c r="F86" t="s">
        <v>28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110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111</v>
      </c>
      <c r="B88" s="2">
        <v>45679</v>
      </c>
      <c r="C88" t="s">
        <v>17</v>
      </c>
      <c r="D88" t="s">
        <v>23</v>
      </c>
      <c r="E88" t="s">
        <v>19</v>
      </c>
      <c r="F88" t="s">
        <v>35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112</v>
      </c>
      <c r="B89" s="2">
        <v>45777</v>
      </c>
      <c r="C89" t="s">
        <v>17</v>
      </c>
      <c r="D89" t="s">
        <v>30</v>
      </c>
      <c r="E89" t="s">
        <v>24</v>
      </c>
      <c r="F89" t="s">
        <v>20</v>
      </c>
      <c r="G89" t="s">
        <v>29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113</v>
      </c>
      <c r="B90" s="2">
        <v>45772</v>
      </c>
      <c r="C90" t="s">
        <v>17</v>
      </c>
      <c r="D90" t="s">
        <v>18</v>
      </c>
      <c r="E90" t="s">
        <v>24</v>
      </c>
      <c r="F90" t="s">
        <v>34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114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115</v>
      </c>
      <c r="B92" s="2">
        <v>45770</v>
      </c>
      <c r="C92" t="s">
        <v>17</v>
      </c>
      <c r="D92" t="s">
        <v>30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116</v>
      </c>
      <c r="B93" s="2">
        <v>45715</v>
      </c>
      <c r="C93" t="s">
        <v>17</v>
      </c>
      <c r="D93" t="s">
        <v>30</v>
      </c>
      <c r="E93" t="s">
        <v>24</v>
      </c>
      <c r="F93" t="s">
        <v>35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117</v>
      </c>
      <c r="B94" s="2">
        <v>45756</v>
      </c>
      <c r="C94" t="s">
        <v>17</v>
      </c>
      <c r="D94" t="s">
        <v>27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118</v>
      </c>
      <c r="B95" s="2">
        <v>45790</v>
      </c>
      <c r="C95" t="s">
        <v>17</v>
      </c>
      <c r="D95" t="s">
        <v>30</v>
      </c>
      <c r="E95" t="s">
        <v>32</v>
      </c>
      <c r="F95" t="s">
        <v>25</v>
      </c>
      <c r="G95" t="s">
        <v>29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119</v>
      </c>
      <c r="B96" s="2">
        <v>45760</v>
      </c>
      <c r="C96" t="s">
        <v>17</v>
      </c>
      <c r="D96" t="s">
        <v>27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120</v>
      </c>
      <c r="B97" s="2">
        <v>45693</v>
      </c>
      <c r="C97" t="s">
        <v>17</v>
      </c>
      <c r="D97" t="s">
        <v>27</v>
      </c>
      <c r="E97" t="s">
        <v>24</v>
      </c>
      <c r="F97" t="s">
        <v>35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121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122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29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123</v>
      </c>
      <c r="B100" s="2">
        <v>45699</v>
      </c>
      <c r="C100" t="s">
        <v>17</v>
      </c>
      <c r="D100" t="s">
        <v>27</v>
      </c>
      <c r="E100" t="s">
        <v>19</v>
      </c>
      <c r="F100" t="s">
        <v>35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124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125</v>
      </c>
      <c r="B102" s="2">
        <v>45738</v>
      </c>
      <c r="C102" t="s">
        <v>17</v>
      </c>
      <c r="D102" t="s">
        <v>18</v>
      </c>
      <c r="E102" t="s">
        <v>24</v>
      </c>
      <c r="F102" t="s">
        <v>28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126</v>
      </c>
      <c r="B103" s="2">
        <v>45755</v>
      </c>
      <c r="C103" t="s">
        <v>17</v>
      </c>
      <c r="D103" t="s">
        <v>23</v>
      </c>
      <c r="E103" t="s">
        <v>24</v>
      </c>
      <c r="F103" t="s">
        <v>28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127</v>
      </c>
      <c r="B104" s="2">
        <v>45761</v>
      </c>
      <c r="C104" t="s">
        <v>17</v>
      </c>
      <c r="D104" t="s">
        <v>18</v>
      </c>
      <c r="E104" t="s">
        <v>19</v>
      </c>
      <c r="F104" t="s">
        <v>35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128</v>
      </c>
      <c r="B105" s="2">
        <v>45743</v>
      </c>
      <c r="C105" t="s">
        <v>17</v>
      </c>
      <c r="D105" t="s">
        <v>30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129</v>
      </c>
      <c r="B106" s="2">
        <v>45662</v>
      </c>
      <c r="C106" t="s">
        <v>17</v>
      </c>
      <c r="D106" t="s">
        <v>30</v>
      </c>
      <c r="E106" t="s">
        <v>24</v>
      </c>
      <c r="F106" t="s">
        <v>35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130</v>
      </c>
      <c r="B107" s="2">
        <v>45682</v>
      </c>
      <c r="C107" t="s">
        <v>17</v>
      </c>
      <c r="D107" t="s">
        <v>30</v>
      </c>
      <c r="E107" t="s">
        <v>24</v>
      </c>
      <c r="F107" t="s">
        <v>35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131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132</v>
      </c>
      <c r="B109" s="2">
        <v>45802</v>
      </c>
      <c r="C109" t="s">
        <v>17</v>
      </c>
      <c r="D109" t="s">
        <v>27</v>
      </c>
      <c r="E109" t="s">
        <v>19</v>
      </c>
      <c r="F109" t="s">
        <v>34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133</v>
      </c>
      <c r="B110" s="2">
        <v>45738</v>
      </c>
      <c r="C110" t="s">
        <v>17</v>
      </c>
      <c r="D110" t="s">
        <v>30</v>
      </c>
      <c r="E110" t="s">
        <v>24</v>
      </c>
      <c r="F110" t="s">
        <v>34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134</v>
      </c>
      <c r="B111" s="2">
        <v>45700</v>
      </c>
      <c r="C111" t="s">
        <v>17</v>
      </c>
      <c r="D111" t="s">
        <v>23</v>
      </c>
      <c r="E111" t="s">
        <v>19</v>
      </c>
      <c r="F111" t="s">
        <v>28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135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136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137</v>
      </c>
      <c r="B114" s="2">
        <v>45796</v>
      </c>
      <c r="C114" t="s">
        <v>17</v>
      </c>
      <c r="D114" t="s">
        <v>27</v>
      </c>
      <c r="E114" t="s">
        <v>32</v>
      </c>
      <c r="F114" t="s">
        <v>28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138</v>
      </c>
      <c r="B115" s="2">
        <v>45680</v>
      </c>
      <c r="C115" t="s">
        <v>17</v>
      </c>
      <c r="D115" t="s">
        <v>30</v>
      </c>
      <c r="E115" t="s">
        <v>24</v>
      </c>
      <c r="F115" t="s">
        <v>35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139</v>
      </c>
      <c r="B116" s="2">
        <v>45744</v>
      </c>
      <c r="C116" t="s">
        <v>17</v>
      </c>
      <c r="D116" t="s">
        <v>27</v>
      </c>
      <c r="E116" t="s">
        <v>19</v>
      </c>
      <c r="F116" t="s">
        <v>35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140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141</v>
      </c>
      <c r="B118" s="2">
        <v>45758</v>
      </c>
      <c r="C118" t="s">
        <v>17</v>
      </c>
      <c r="D118" t="s">
        <v>18</v>
      </c>
      <c r="E118" t="s">
        <v>24</v>
      </c>
      <c r="F118" t="s">
        <v>34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142</v>
      </c>
      <c r="B119" s="2">
        <v>45659</v>
      </c>
      <c r="C119" t="s">
        <v>17</v>
      </c>
      <c r="D119" t="s">
        <v>23</v>
      </c>
      <c r="E119" t="s">
        <v>24</v>
      </c>
      <c r="F119" t="s">
        <v>28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143</v>
      </c>
      <c r="B120" s="2">
        <v>45734</v>
      </c>
      <c r="C120" t="s">
        <v>17</v>
      </c>
      <c r="D120" t="s">
        <v>27</v>
      </c>
      <c r="E120" t="s">
        <v>24</v>
      </c>
      <c r="F120" t="s">
        <v>35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144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145</v>
      </c>
      <c r="B122" s="2">
        <v>45663</v>
      </c>
      <c r="C122" t="s">
        <v>17</v>
      </c>
      <c r="D122" t="s">
        <v>18</v>
      </c>
      <c r="E122" t="s">
        <v>24</v>
      </c>
      <c r="F122" t="s">
        <v>28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146</v>
      </c>
      <c r="B123" s="2">
        <v>45683</v>
      </c>
      <c r="C123" t="s">
        <v>17</v>
      </c>
      <c r="D123" t="s">
        <v>18</v>
      </c>
      <c r="E123" t="s">
        <v>24</v>
      </c>
      <c r="F123" t="s">
        <v>34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147</v>
      </c>
      <c r="B124" s="2">
        <v>45769</v>
      </c>
      <c r="C124" t="s">
        <v>17</v>
      </c>
      <c r="D124" t="s">
        <v>30</v>
      </c>
      <c r="E124" t="s">
        <v>24</v>
      </c>
      <c r="F124" t="s">
        <v>34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148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149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29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150</v>
      </c>
      <c r="B127" s="2">
        <v>45670</v>
      </c>
      <c r="C127" t="s">
        <v>17</v>
      </c>
      <c r="D127" t="s">
        <v>30</v>
      </c>
      <c r="E127" t="s">
        <v>19</v>
      </c>
      <c r="F127" t="s">
        <v>28</v>
      </c>
      <c r="G127" t="s">
        <v>29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151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152</v>
      </c>
      <c r="B129" s="2">
        <v>45776</v>
      </c>
      <c r="C129" t="s">
        <v>17</v>
      </c>
      <c r="D129" t="s">
        <v>30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153</v>
      </c>
      <c r="B130" s="2">
        <v>45794</v>
      </c>
      <c r="C130" t="s">
        <v>17</v>
      </c>
      <c r="D130" t="s">
        <v>27</v>
      </c>
      <c r="E130" t="s">
        <v>24</v>
      </c>
      <c r="F130" t="s">
        <v>34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154</v>
      </c>
      <c r="B131" s="2">
        <v>45659</v>
      </c>
      <c r="C131" t="s">
        <v>17</v>
      </c>
      <c r="D131" t="s">
        <v>18</v>
      </c>
      <c r="E131" t="s">
        <v>24</v>
      </c>
      <c r="F131" t="s">
        <v>28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155</v>
      </c>
      <c r="B132" s="2">
        <v>45691</v>
      </c>
      <c r="C132" t="s">
        <v>17</v>
      </c>
      <c r="D132" t="s">
        <v>30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156</v>
      </c>
      <c r="B133" s="2">
        <v>45720</v>
      </c>
      <c r="C133" t="s">
        <v>17</v>
      </c>
      <c r="D133" t="s">
        <v>27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157</v>
      </c>
      <c r="B134" s="2">
        <v>45683</v>
      </c>
      <c r="C134" t="s">
        <v>17</v>
      </c>
      <c r="D134" t="s">
        <v>30</v>
      </c>
      <c r="E134" t="s">
        <v>24</v>
      </c>
      <c r="F134" t="s">
        <v>28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158</v>
      </c>
      <c r="B135" s="2">
        <v>45789</v>
      </c>
      <c r="C135" t="s">
        <v>17</v>
      </c>
      <c r="D135" t="s">
        <v>23</v>
      </c>
      <c r="E135" t="s">
        <v>24</v>
      </c>
      <c r="F135" t="s">
        <v>28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159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160</v>
      </c>
      <c r="B137" s="2">
        <v>45726</v>
      </c>
      <c r="C137" t="s">
        <v>17</v>
      </c>
      <c r="D137" t="s">
        <v>30</v>
      </c>
      <c r="E137" t="s">
        <v>19</v>
      </c>
      <c r="F137" t="s">
        <v>20</v>
      </c>
      <c r="G137" t="s">
        <v>29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161</v>
      </c>
      <c r="B138" s="2">
        <v>45783</v>
      </c>
      <c r="C138" t="s">
        <v>17</v>
      </c>
      <c r="D138" t="s">
        <v>18</v>
      </c>
      <c r="E138" t="s">
        <v>24</v>
      </c>
      <c r="F138" t="s">
        <v>28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162</v>
      </c>
      <c r="B139" s="2">
        <v>45711</v>
      </c>
      <c r="C139" t="s">
        <v>17</v>
      </c>
      <c r="D139" t="s">
        <v>30</v>
      </c>
      <c r="E139" t="s">
        <v>19</v>
      </c>
      <c r="F139" t="s">
        <v>28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163</v>
      </c>
      <c r="B140" s="2">
        <v>45686</v>
      </c>
      <c r="C140" t="s">
        <v>17</v>
      </c>
      <c r="D140" t="s">
        <v>23</v>
      </c>
      <c r="E140" t="s">
        <v>24</v>
      </c>
      <c r="F140" t="s">
        <v>35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164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165</v>
      </c>
      <c r="B142" s="2">
        <v>45676</v>
      </c>
      <c r="C142" t="s">
        <v>17</v>
      </c>
      <c r="D142" t="s">
        <v>30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166</v>
      </c>
      <c r="B143" s="2">
        <v>45750</v>
      </c>
      <c r="C143" t="s">
        <v>17</v>
      </c>
      <c r="D143" t="s">
        <v>23</v>
      </c>
      <c r="E143" t="s">
        <v>19</v>
      </c>
      <c r="F143" t="s">
        <v>35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167</v>
      </c>
      <c r="B144" s="2">
        <v>45754</v>
      </c>
      <c r="C144" t="s">
        <v>17</v>
      </c>
      <c r="D144" t="s">
        <v>18</v>
      </c>
      <c r="E144" t="s">
        <v>24</v>
      </c>
      <c r="F144" t="s">
        <v>28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168</v>
      </c>
      <c r="B145" s="2">
        <v>45663</v>
      </c>
      <c r="C145" t="s">
        <v>17</v>
      </c>
      <c r="D145" t="s">
        <v>27</v>
      </c>
      <c r="E145" t="s">
        <v>24</v>
      </c>
      <c r="F145" t="s">
        <v>28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169</v>
      </c>
      <c r="B146" s="2">
        <v>45758</v>
      </c>
      <c r="C146" t="s">
        <v>17</v>
      </c>
      <c r="D146" t="s">
        <v>27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170</v>
      </c>
      <c r="B147" s="2">
        <v>45770</v>
      </c>
      <c r="C147" t="s">
        <v>17</v>
      </c>
      <c r="D147" t="s">
        <v>27</v>
      </c>
      <c r="E147" t="s">
        <v>24</v>
      </c>
      <c r="F147" t="s">
        <v>28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171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172</v>
      </c>
      <c r="B149" s="2">
        <v>45802</v>
      </c>
      <c r="C149" t="s">
        <v>17</v>
      </c>
      <c r="D149" t="s">
        <v>30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173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174</v>
      </c>
      <c r="B151" s="2">
        <v>45700</v>
      </c>
      <c r="C151" t="s">
        <v>17</v>
      </c>
      <c r="D151" t="s">
        <v>23</v>
      </c>
      <c r="E151" t="s">
        <v>24</v>
      </c>
      <c r="F151" t="s">
        <v>28</v>
      </c>
      <c r="G151" t="s">
        <v>29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175</v>
      </c>
      <c r="B152" s="2">
        <v>45776</v>
      </c>
      <c r="C152" t="s">
        <v>17</v>
      </c>
      <c r="D152" t="s">
        <v>18</v>
      </c>
      <c r="E152" t="s">
        <v>24</v>
      </c>
      <c r="F152" t="s">
        <v>35</v>
      </c>
      <c r="G152" t="s">
        <v>29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176</v>
      </c>
      <c r="B153" s="2">
        <v>45729</v>
      </c>
      <c r="C153" t="s">
        <v>17</v>
      </c>
      <c r="D153" t="s">
        <v>30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177</v>
      </c>
      <c r="B154" s="2">
        <v>45692</v>
      </c>
      <c r="C154" t="s">
        <v>17</v>
      </c>
      <c r="D154" t="s">
        <v>27</v>
      </c>
      <c r="E154" t="s">
        <v>19</v>
      </c>
      <c r="F154" t="s">
        <v>28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178</v>
      </c>
      <c r="B155" s="2">
        <v>45720</v>
      </c>
      <c r="C155" t="s">
        <v>17</v>
      </c>
      <c r="D155" t="s">
        <v>30</v>
      </c>
      <c r="E155" t="s">
        <v>24</v>
      </c>
      <c r="F155" t="s">
        <v>34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179</v>
      </c>
      <c r="B156" s="2">
        <v>45692</v>
      </c>
      <c r="C156" t="s">
        <v>17</v>
      </c>
      <c r="D156" t="s">
        <v>23</v>
      </c>
      <c r="E156" t="s">
        <v>24</v>
      </c>
      <c r="F156" t="s">
        <v>28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180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181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182</v>
      </c>
      <c r="B159" s="2">
        <v>45724</v>
      </c>
      <c r="C159" t="s">
        <v>17</v>
      </c>
      <c r="D159" t="s">
        <v>18</v>
      </c>
      <c r="E159" t="s">
        <v>19</v>
      </c>
      <c r="F159" t="s">
        <v>28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183</v>
      </c>
      <c r="B160" s="2">
        <v>45726</v>
      </c>
      <c r="C160" t="s">
        <v>17</v>
      </c>
      <c r="D160" t="s">
        <v>27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184</v>
      </c>
      <c r="B161" s="2">
        <v>45795</v>
      </c>
      <c r="C161" t="s">
        <v>17</v>
      </c>
      <c r="D161" t="s">
        <v>18</v>
      </c>
      <c r="E161" t="s">
        <v>19</v>
      </c>
      <c r="F161" t="s">
        <v>28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185</v>
      </c>
      <c r="B162" s="2">
        <v>45791</v>
      </c>
      <c r="C162" t="s">
        <v>17</v>
      </c>
      <c r="D162" t="s">
        <v>18</v>
      </c>
      <c r="E162" t="s">
        <v>24</v>
      </c>
      <c r="F162" t="s">
        <v>35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186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187</v>
      </c>
      <c r="B164" s="2">
        <v>45758</v>
      </c>
      <c r="C164" t="s">
        <v>17</v>
      </c>
      <c r="D164" t="s">
        <v>30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188</v>
      </c>
      <c r="B165" s="2">
        <v>45702</v>
      </c>
      <c r="C165" t="s">
        <v>17</v>
      </c>
      <c r="D165" t="s">
        <v>27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189</v>
      </c>
      <c r="B166" s="2">
        <v>45796</v>
      </c>
      <c r="C166" t="s">
        <v>17</v>
      </c>
      <c r="D166" t="s">
        <v>27</v>
      </c>
      <c r="E166" t="s">
        <v>24</v>
      </c>
      <c r="F166" t="s">
        <v>35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190</v>
      </c>
      <c r="B167" s="2">
        <v>45773</v>
      </c>
      <c r="C167" t="s">
        <v>17</v>
      </c>
      <c r="D167" t="s">
        <v>18</v>
      </c>
      <c r="E167" t="s">
        <v>19</v>
      </c>
      <c r="F167" t="s">
        <v>28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191</v>
      </c>
      <c r="B168" s="2">
        <v>45753</v>
      </c>
      <c r="C168" t="s">
        <v>17</v>
      </c>
      <c r="D168" t="s">
        <v>30</v>
      </c>
      <c r="E168" t="s">
        <v>24</v>
      </c>
      <c r="F168" t="s">
        <v>35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192</v>
      </c>
      <c r="B169" s="2">
        <v>45722</v>
      </c>
      <c r="C169" t="s">
        <v>17</v>
      </c>
      <c r="D169" t="s">
        <v>30</v>
      </c>
      <c r="E169" t="s">
        <v>24</v>
      </c>
      <c r="F169" t="s">
        <v>28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193</v>
      </c>
      <c r="B170" s="2">
        <v>45726</v>
      </c>
      <c r="C170" t="s">
        <v>17</v>
      </c>
      <c r="D170" t="s">
        <v>23</v>
      </c>
      <c r="E170" t="s">
        <v>24</v>
      </c>
      <c r="F170" t="s">
        <v>35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194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195</v>
      </c>
      <c r="B172" s="2">
        <v>45806</v>
      </c>
      <c r="C172" t="s">
        <v>17</v>
      </c>
      <c r="D172" t="s">
        <v>27</v>
      </c>
      <c r="F172" t="s">
        <v>28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196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197</v>
      </c>
      <c r="B174" s="2">
        <v>45706</v>
      </c>
      <c r="C174" t="s">
        <v>17</v>
      </c>
      <c r="D174" t="s">
        <v>18</v>
      </c>
      <c r="E174" t="s">
        <v>32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198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199</v>
      </c>
      <c r="B176" s="2">
        <v>45770</v>
      </c>
      <c r="C176" t="s">
        <v>17</v>
      </c>
      <c r="D176" t="s">
        <v>27</v>
      </c>
      <c r="E176" t="s">
        <v>24</v>
      </c>
      <c r="F176" t="s">
        <v>35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200</v>
      </c>
      <c r="B177" s="2">
        <v>45732</v>
      </c>
      <c r="C177" t="s">
        <v>17</v>
      </c>
      <c r="D177" t="s">
        <v>30</v>
      </c>
      <c r="E177" t="s">
        <v>32</v>
      </c>
      <c r="F177" t="s">
        <v>34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201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202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203</v>
      </c>
      <c r="B180" s="2">
        <v>45764</v>
      </c>
      <c r="C180" t="s">
        <v>17</v>
      </c>
      <c r="D180" t="s">
        <v>18</v>
      </c>
      <c r="E180" t="s">
        <v>19</v>
      </c>
      <c r="F180" t="s">
        <v>34</v>
      </c>
      <c r="G180" t="s">
        <v>29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204</v>
      </c>
      <c r="B181" s="2">
        <v>45750</v>
      </c>
      <c r="C181" t="s">
        <v>17</v>
      </c>
      <c r="D181" t="s">
        <v>30</v>
      </c>
      <c r="E181" t="s">
        <v>24</v>
      </c>
      <c r="F181" t="s">
        <v>28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205</v>
      </c>
      <c r="B182" s="2">
        <v>45772</v>
      </c>
      <c r="C182" t="s">
        <v>17</v>
      </c>
      <c r="D182" t="s">
        <v>23</v>
      </c>
      <c r="E182" t="s">
        <v>24</v>
      </c>
      <c r="F182" t="s">
        <v>28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206</v>
      </c>
      <c r="B183" s="2">
        <v>45777</v>
      </c>
      <c r="C183" t="s">
        <v>17</v>
      </c>
      <c r="D183" t="s">
        <v>30</v>
      </c>
      <c r="E183" t="s">
        <v>24</v>
      </c>
      <c r="F183" t="s">
        <v>25</v>
      </c>
      <c r="G183" t="s">
        <v>29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207</v>
      </c>
      <c r="B184" s="2">
        <v>45728</v>
      </c>
      <c r="C184" t="s">
        <v>17</v>
      </c>
      <c r="D184" t="s">
        <v>30</v>
      </c>
      <c r="E184" t="s">
        <v>24</v>
      </c>
      <c r="F184" t="s">
        <v>28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208</v>
      </c>
      <c r="B185" s="2">
        <v>45781</v>
      </c>
      <c r="C185" t="s">
        <v>17</v>
      </c>
      <c r="D185" t="s">
        <v>30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209</v>
      </c>
      <c r="B186" s="2">
        <v>45695</v>
      </c>
      <c r="C186" t="s">
        <v>17</v>
      </c>
      <c r="D186" t="s">
        <v>30</v>
      </c>
      <c r="E186" t="s">
        <v>32</v>
      </c>
      <c r="F186" t="s">
        <v>28</v>
      </c>
      <c r="G186" t="s">
        <v>29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210</v>
      </c>
      <c r="B187" s="2">
        <v>45775</v>
      </c>
      <c r="C187" t="s">
        <v>17</v>
      </c>
      <c r="D187" t="s">
        <v>27</v>
      </c>
      <c r="E187" t="s">
        <v>32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211</v>
      </c>
      <c r="B188" s="2">
        <v>45792</v>
      </c>
      <c r="C188" t="s">
        <v>17</v>
      </c>
      <c r="D188" t="s">
        <v>27</v>
      </c>
      <c r="E188" t="s">
        <v>19</v>
      </c>
      <c r="F188" t="s">
        <v>34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212</v>
      </c>
      <c r="B189" s="2">
        <v>45675</v>
      </c>
      <c r="C189" t="s">
        <v>17</v>
      </c>
      <c r="D189" t="s">
        <v>23</v>
      </c>
      <c r="E189" t="s">
        <v>24</v>
      </c>
      <c r="F189" t="s">
        <v>28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213</v>
      </c>
      <c r="B190" s="2">
        <v>45703</v>
      </c>
      <c r="C190" t="s">
        <v>17</v>
      </c>
      <c r="D190" t="s">
        <v>30</v>
      </c>
      <c r="E190" t="s">
        <v>24</v>
      </c>
      <c r="F190" t="s">
        <v>35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214</v>
      </c>
      <c r="B191" s="2">
        <v>45706</v>
      </c>
      <c r="C191" t="s">
        <v>17</v>
      </c>
      <c r="D191" t="s">
        <v>18</v>
      </c>
      <c r="E191" t="s">
        <v>32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215</v>
      </c>
      <c r="B192" s="2">
        <v>45687</v>
      </c>
      <c r="C192" t="s">
        <v>17</v>
      </c>
      <c r="D192" t="s">
        <v>30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216</v>
      </c>
      <c r="B193" s="2">
        <v>45697</v>
      </c>
      <c r="C193" t="s">
        <v>17</v>
      </c>
      <c r="D193" t="s">
        <v>30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217</v>
      </c>
      <c r="B194" s="2">
        <v>45732</v>
      </c>
      <c r="C194" t="s">
        <v>17</v>
      </c>
      <c r="D194" t="s">
        <v>23</v>
      </c>
      <c r="E194" t="s">
        <v>24</v>
      </c>
      <c r="F194" t="s">
        <v>28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218</v>
      </c>
      <c r="B195" s="2">
        <v>45796</v>
      </c>
      <c r="C195" t="s">
        <v>17</v>
      </c>
      <c r="D195" t="s">
        <v>18</v>
      </c>
      <c r="E195" t="s">
        <v>24</v>
      </c>
      <c r="F195" t="s">
        <v>28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219</v>
      </c>
      <c r="B196" s="2">
        <v>45793</v>
      </c>
      <c r="C196" t="s">
        <v>17</v>
      </c>
      <c r="D196" t="s">
        <v>30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220</v>
      </c>
      <c r="B197" s="2">
        <v>45772</v>
      </c>
      <c r="C197" t="s">
        <v>17</v>
      </c>
      <c r="D197" t="s">
        <v>23</v>
      </c>
      <c r="E197" t="s">
        <v>19</v>
      </c>
      <c r="F197" t="s">
        <v>34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221</v>
      </c>
      <c r="B198" s="2">
        <v>45715</v>
      </c>
      <c r="C198" t="s">
        <v>17</v>
      </c>
      <c r="D198" t="s">
        <v>18</v>
      </c>
      <c r="E198" t="s">
        <v>24</v>
      </c>
      <c r="F198" t="s">
        <v>35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222</v>
      </c>
      <c r="B199" s="2">
        <v>45773</v>
      </c>
      <c r="C199" t="s">
        <v>17</v>
      </c>
      <c r="D199" t="s">
        <v>30</v>
      </c>
      <c r="E199" t="s">
        <v>24</v>
      </c>
      <c r="F199" t="s">
        <v>28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223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224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29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225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226</v>
      </c>
      <c r="B203" s="2">
        <v>45791</v>
      </c>
      <c r="C203" t="s">
        <v>17</v>
      </c>
      <c r="D203" t="s">
        <v>30</v>
      </c>
      <c r="E203" t="s">
        <v>32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227</v>
      </c>
      <c r="B204" s="2">
        <v>45798</v>
      </c>
      <c r="C204" t="s">
        <v>17</v>
      </c>
      <c r="D204" t="s">
        <v>18</v>
      </c>
      <c r="E204" t="s">
        <v>24</v>
      </c>
      <c r="F204" t="s">
        <v>28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228</v>
      </c>
      <c r="B205" s="2">
        <v>45684</v>
      </c>
      <c r="C205" t="s">
        <v>17</v>
      </c>
      <c r="D205" t="s">
        <v>27</v>
      </c>
      <c r="E205" t="s">
        <v>24</v>
      </c>
      <c r="F205" t="s">
        <v>35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229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230</v>
      </c>
      <c r="B207" s="2">
        <v>45796</v>
      </c>
      <c r="C207" t="s">
        <v>17</v>
      </c>
      <c r="D207" t="s">
        <v>30</v>
      </c>
      <c r="E207" t="s">
        <v>24</v>
      </c>
      <c r="F207" t="s">
        <v>28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231</v>
      </c>
      <c r="B208" s="2">
        <v>45671</v>
      </c>
      <c r="C208" t="s">
        <v>17</v>
      </c>
      <c r="D208" t="s">
        <v>30</v>
      </c>
      <c r="E208" t="s">
        <v>19</v>
      </c>
      <c r="F208" t="s">
        <v>28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232</v>
      </c>
      <c r="B209" s="2">
        <v>45678</v>
      </c>
      <c r="C209" t="s">
        <v>17</v>
      </c>
      <c r="D209" t="s">
        <v>18</v>
      </c>
      <c r="E209" t="s">
        <v>19</v>
      </c>
      <c r="F209" t="s">
        <v>34</v>
      </c>
      <c r="G209" t="s">
        <v>29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233</v>
      </c>
      <c r="B210" s="2">
        <v>45793</v>
      </c>
      <c r="C210" t="s">
        <v>17</v>
      </c>
      <c r="D210" t="s">
        <v>27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234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235</v>
      </c>
      <c r="B212" s="2">
        <v>45739</v>
      </c>
      <c r="C212" t="s">
        <v>17</v>
      </c>
      <c r="D212" t="s">
        <v>27</v>
      </c>
      <c r="F212" t="s">
        <v>34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236</v>
      </c>
      <c r="B213" s="2">
        <v>45681</v>
      </c>
      <c r="C213" t="s">
        <v>17</v>
      </c>
      <c r="D213" t="s">
        <v>27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237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238</v>
      </c>
      <c r="B215" s="2">
        <v>45706</v>
      </c>
      <c r="C215" t="s">
        <v>17</v>
      </c>
      <c r="D215" t="s">
        <v>27</v>
      </c>
      <c r="E215" t="s">
        <v>19</v>
      </c>
      <c r="F215" t="s">
        <v>28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239</v>
      </c>
      <c r="B216" s="2">
        <v>45805</v>
      </c>
      <c r="C216" t="s">
        <v>17</v>
      </c>
      <c r="D216" t="s">
        <v>30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240</v>
      </c>
      <c r="B217" s="2">
        <v>45765</v>
      </c>
      <c r="C217" t="s">
        <v>17</v>
      </c>
      <c r="D217" t="s">
        <v>30</v>
      </c>
      <c r="E217" t="s">
        <v>24</v>
      </c>
      <c r="F217" t="s">
        <v>35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241</v>
      </c>
      <c r="B218" s="2">
        <v>45743</v>
      </c>
      <c r="C218" t="s">
        <v>17</v>
      </c>
      <c r="D218" t="s">
        <v>18</v>
      </c>
      <c r="E218" t="s">
        <v>24</v>
      </c>
      <c r="F218" t="s">
        <v>28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242</v>
      </c>
      <c r="B219" s="2">
        <v>45713</v>
      </c>
      <c r="C219" t="s">
        <v>17</v>
      </c>
      <c r="D219" t="s">
        <v>18</v>
      </c>
      <c r="E219" t="s">
        <v>32</v>
      </c>
      <c r="F219" t="s">
        <v>35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243</v>
      </c>
      <c r="B220" s="2">
        <v>45707</v>
      </c>
      <c r="C220" t="s">
        <v>17</v>
      </c>
      <c r="D220" t="s">
        <v>27</v>
      </c>
      <c r="E220" t="s">
        <v>24</v>
      </c>
      <c r="F220" t="s">
        <v>28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244</v>
      </c>
      <c r="B221" s="2">
        <v>45758</v>
      </c>
      <c r="C221" t="s">
        <v>17</v>
      </c>
      <c r="D221" t="s">
        <v>23</v>
      </c>
      <c r="E221" t="s">
        <v>24</v>
      </c>
      <c r="F221" t="s">
        <v>28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245</v>
      </c>
      <c r="B222" s="2">
        <v>45679</v>
      </c>
      <c r="C222" t="s">
        <v>17</v>
      </c>
      <c r="D222" t="s">
        <v>27</v>
      </c>
      <c r="E222" t="s">
        <v>32</v>
      </c>
      <c r="F222" t="s">
        <v>34</v>
      </c>
      <c r="G222" t="s">
        <v>29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246</v>
      </c>
      <c r="B223" s="2">
        <v>45669</v>
      </c>
      <c r="C223" t="s">
        <v>17</v>
      </c>
      <c r="D223" t="s">
        <v>30</v>
      </c>
      <c r="E223" t="s">
        <v>24</v>
      </c>
      <c r="F223" t="s">
        <v>35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247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248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249</v>
      </c>
      <c r="B226" s="2">
        <v>45802</v>
      </c>
      <c r="C226" t="s">
        <v>17</v>
      </c>
      <c r="D226" t="s">
        <v>30</v>
      </c>
      <c r="E226" t="s">
        <v>24</v>
      </c>
      <c r="F226" t="s">
        <v>34</v>
      </c>
      <c r="G226" t="s">
        <v>29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250</v>
      </c>
      <c r="B227" s="2">
        <v>45728</v>
      </c>
      <c r="C227" t="s">
        <v>17</v>
      </c>
      <c r="D227" t="s">
        <v>30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251</v>
      </c>
      <c r="B228" s="2">
        <v>45767</v>
      </c>
      <c r="C228" t="s">
        <v>17</v>
      </c>
      <c r="D228" t="s">
        <v>18</v>
      </c>
      <c r="E228" t="s">
        <v>32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252</v>
      </c>
      <c r="B229" s="2">
        <v>45711</v>
      </c>
      <c r="C229" t="s">
        <v>17</v>
      </c>
      <c r="D229" t="s">
        <v>18</v>
      </c>
      <c r="E229" t="s">
        <v>32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253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254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29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255</v>
      </c>
      <c r="B232" s="2">
        <v>45705</v>
      </c>
      <c r="C232" t="s">
        <v>17</v>
      </c>
      <c r="D232" t="s">
        <v>18</v>
      </c>
      <c r="E232" t="s">
        <v>24</v>
      </c>
      <c r="F232" t="s">
        <v>35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256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257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258</v>
      </c>
      <c r="B235" s="2">
        <v>45775</v>
      </c>
      <c r="C235" t="s">
        <v>17</v>
      </c>
      <c r="D235" t="s">
        <v>18</v>
      </c>
      <c r="E235" t="s">
        <v>32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259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260</v>
      </c>
      <c r="B237" s="2">
        <v>45734</v>
      </c>
      <c r="C237" t="s">
        <v>17</v>
      </c>
      <c r="D237" t="s">
        <v>23</v>
      </c>
      <c r="E237" t="s">
        <v>24</v>
      </c>
      <c r="F237" t="s">
        <v>35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261</v>
      </c>
      <c r="B238" s="2">
        <v>45717</v>
      </c>
      <c r="C238" t="s">
        <v>17</v>
      </c>
      <c r="D238" t="s">
        <v>30</v>
      </c>
      <c r="E238" t="s">
        <v>19</v>
      </c>
      <c r="F238" t="s">
        <v>25</v>
      </c>
      <c r="G238" t="s">
        <v>29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262</v>
      </c>
      <c r="B239" s="2">
        <v>45752</v>
      </c>
      <c r="C239" t="s">
        <v>17</v>
      </c>
      <c r="D239" t="s">
        <v>18</v>
      </c>
      <c r="E239" t="s">
        <v>19</v>
      </c>
      <c r="F239" t="s">
        <v>35</v>
      </c>
      <c r="G239" t="s">
        <v>29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263</v>
      </c>
      <c r="B240" s="2">
        <v>45728</v>
      </c>
      <c r="C240" t="s">
        <v>17</v>
      </c>
      <c r="D240" t="s">
        <v>18</v>
      </c>
      <c r="E240" t="s">
        <v>19</v>
      </c>
      <c r="F240" t="s">
        <v>35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264</v>
      </c>
      <c r="B241" s="2">
        <v>45731</v>
      </c>
      <c r="C241" t="s">
        <v>17</v>
      </c>
      <c r="D241" t="s">
        <v>23</v>
      </c>
      <c r="E241" t="s">
        <v>24</v>
      </c>
      <c r="F241" t="s">
        <v>34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265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266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267</v>
      </c>
      <c r="B244" s="2">
        <v>45666</v>
      </c>
      <c r="C244" t="s">
        <v>17</v>
      </c>
      <c r="D244" t="s">
        <v>27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268</v>
      </c>
      <c r="B245" s="2">
        <v>45721</v>
      </c>
      <c r="C245" t="s">
        <v>17</v>
      </c>
      <c r="D245" t="s">
        <v>27</v>
      </c>
      <c r="E245" t="s">
        <v>32</v>
      </c>
      <c r="F245" t="s">
        <v>35</v>
      </c>
      <c r="G245" t="s">
        <v>29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269</v>
      </c>
      <c r="B246" s="2">
        <v>45685</v>
      </c>
      <c r="C246" t="s">
        <v>17</v>
      </c>
      <c r="D246" t="s">
        <v>18</v>
      </c>
      <c r="E246" t="s">
        <v>24</v>
      </c>
      <c r="F246" t="s">
        <v>35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270</v>
      </c>
      <c r="B247" s="2">
        <v>45678</v>
      </c>
      <c r="C247" t="s">
        <v>17</v>
      </c>
      <c r="D247" t="s">
        <v>23</v>
      </c>
      <c r="E247" t="s">
        <v>24</v>
      </c>
      <c r="F247" t="s">
        <v>28</v>
      </c>
      <c r="G247" t="s">
        <v>29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271</v>
      </c>
      <c r="B248" s="2">
        <v>45730</v>
      </c>
      <c r="C248" t="s">
        <v>17</v>
      </c>
      <c r="D248" t="s">
        <v>30</v>
      </c>
      <c r="E248" t="s">
        <v>24</v>
      </c>
      <c r="F248" t="s">
        <v>34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272</v>
      </c>
      <c r="B249" s="2">
        <v>45691</v>
      </c>
      <c r="C249" t="s">
        <v>17</v>
      </c>
      <c r="D249" t="s">
        <v>23</v>
      </c>
      <c r="E249" t="s">
        <v>24</v>
      </c>
      <c r="F249" t="s">
        <v>28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273</v>
      </c>
      <c r="B250" s="2">
        <v>45799</v>
      </c>
      <c r="C250" t="s">
        <v>17</v>
      </c>
      <c r="D250" t="s">
        <v>18</v>
      </c>
      <c r="E250" t="s">
        <v>24</v>
      </c>
      <c r="F250" t="s">
        <v>35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274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275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276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277</v>
      </c>
      <c r="B254" s="2">
        <v>45702</v>
      </c>
      <c r="C254" t="s">
        <v>17</v>
      </c>
      <c r="D254" t="s">
        <v>27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278</v>
      </c>
      <c r="B255" s="2">
        <v>45721</v>
      </c>
      <c r="C255" t="s">
        <v>17</v>
      </c>
      <c r="D255" t="s">
        <v>18</v>
      </c>
      <c r="E255" t="s">
        <v>24</v>
      </c>
      <c r="F255" t="s">
        <v>28</v>
      </c>
      <c r="G255" t="s">
        <v>29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279</v>
      </c>
      <c r="B256" s="2">
        <v>45804</v>
      </c>
      <c r="C256" t="s">
        <v>17</v>
      </c>
      <c r="D256" t="s">
        <v>18</v>
      </c>
      <c r="E256" t="s">
        <v>24</v>
      </c>
      <c r="F256" t="s">
        <v>28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280</v>
      </c>
      <c r="B257" s="2">
        <v>45664</v>
      </c>
      <c r="C257" t="s">
        <v>17</v>
      </c>
      <c r="D257" t="s">
        <v>30</v>
      </c>
      <c r="E257" t="s">
        <v>24</v>
      </c>
      <c r="F257" t="s">
        <v>28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281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282</v>
      </c>
      <c r="B259" s="2">
        <v>45790</v>
      </c>
      <c r="C259" t="s">
        <v>17</v>
      </c>
      <c r="D259" t="s">
        <v>18</v>
      </c>
      <c r="E259" t="s">
        <v>24</v>
      </c>
      <c r="F259" t="s">
        <v>28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283</v>
      </c>
      <c r="B260" s="2">
        <v>45685</v>
      </c>
      <c r="C260" t="s">
        <v>17</v>
      </c>
      <c r="D260" t="s">
        <v>27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284</v>
      </c>
      <c r="B261" s="2">
        <v>45732</v>
      </c>
      <c r="C261" t="s">
        <v>17</v>
      </c>
      <c r="D261" t="s">
        <v>27</v>
      </c>
      <c r="E261" t="s">
        <v>19</v>
      </c>
      <c r="F261" t="s">
        <v>28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285</v>
      </c>
      <c r="B262" s="2">
        <v>45757</v>
      </c>
      <c r="C262" t="s">
        <v>17</v>
      </c>
      <c r="D262" t="s">
        <v>27</v>
      </c>
      <c r="E262" t="s">
        <v>19</v>
      </c>
      <c r="F262" t="s">
        <v>35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286</v>
      </c>
      <c r="B263" s="2">
        <v>45731</v>
      </c>
      <c r="C263" t="s">
        <v>17</v>
      </c>
      <c r="D263" t="s">
        <v>27</v>
      </c>
      <c r="E263" t="s">
        <v>19</v>
      </c>
      <c r="F263" t="s">
        <v>34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287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288</v>
      </c>
      <c r="B265" s="2">
        <v>45700</v>
      </c>
      <c r="C265" t="s">
        <v>17</v>
      </c>
      <c r="D265" t="s">
        <v>30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289</v>
      </c>
      <c r="B266" s="2">
        <v>45782</v>
      </c>
      <c r="C266" t="s">
        <v>17</v>
      </c>
      <c r="D266" t="s">
        <v>23</v>
      </c>
      <c r="E266" t="s">
        <v>24</v>
      </c>
      <c r="F266" t="s">
        <v>35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290</v>
      </c>
      <c r="B267" s="2">
        <v>45727</v>
      </c>
      <c r="C267" t="s">
        <v>17</v>
      </c>
      <c r="D267" t="s">
        <v>23</v>
      </c>
      <c r="E267" t="s">
        <v>24</v>
      </c>
      <c r="F267" t="s">
        <v>34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291</v>
      </c>
      <c r="B268" s="2">
        <v>45698</v>
      </c>
      <c r="C268" t="s">
        <v>17</v>
      </c>
      <c r="D268" t="s">
        <v>27</v>
      </c>
      <c r="E268" t="s">
        <v>24</v>
      </c>
      <c r="F268" t="s">
        <v>35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292</v>
      </c>
      <c r="B269" s="2">
        <v>45753</v>
      </c>
      <c r="C269" t="s">
        <v>17</v>
      </c>
      <c r="D269" t="s">
        <v>30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293</v>
      </c>
      <c r="B270" s="2">
        <v>45663</v>
      </c>
      <c r="C270" t="s">
        <v>17</v>
      </c>
      <c r="D270" t="s">
        <v>27</v>
      </c>
      <c r="E270" t="s">
        <v>24</v>
      </c>
      <c r="F270" t="s">
        <v>34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294</v>
      </c>
      <c r="B271" s="2">
        <v>45741</v>
      </c>
      <c r="C271" t="s">
        <v>17</v>
      </c>
      <c r="D271" t="s">
        <v>27</v>
      </c>
      <c r="E271" t="s">
        <v>32</v>
      </c>
      <c r="F271" t="s">
        <v>28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295</v>
      </c>
      <c r="B272" s="2">
        <v>45701</v>
      </c>
      <c r="C272" t="s">
        <v>17</v>
      </c>
      <c r="D272" t="s">
        <v>27</v>
      </c>
      <c r="E272" t="s">
        <v>19</v>
      </c>
      <c r="F272" t="s">
        <v>34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296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297</v>
      </c>
      <c r="B274" s="2">
        <v>45787</v>
      </c>
      <c r="C274" t="s">
        <v>17</v>
      </c>
      <c r="D274" t="s">
        <v>18</v>
      </c>
      <c r="E274" t="s">
        <v>24</v>
      </c>
      <c r="F274" t="s">
        <v>34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298</v>
      </c>
      <c r="B275" s="2">
        <v>45784</v>
      </c>
      <c r="C275" t="s">
        <v>17</v>
      </c>
      <c r="D275" t="s">
        <v>30</v>
      </c>
      <c r="E275" t="s">
        <v>24</v>
      </c>
      <c r="F275" t="s">
        <v>28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299</v>
      </c>
      <c r="B276" s="2">
        <v>45714</v>
      </c>
      <c r="C276" t="s">
        <v>17</v>
      </c>
      <c r="D276" t="s">
        <v>23</v>
      </c>
      <c r="E276" t="s">
        <v>19</v>
      </c>
      <c r="F276" t="s">
        <v>28</v>
      </c>
      <c r="G276" t="s">
        <v>29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300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301</v>
      </c>
      <c r="B278" s="2">
        <v>45736</v>
      </c>
      <c r="C278" t="s">
        <v>17</v>
      </c>
      <c r="D278" t="s">
        <v>30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302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303</v>
      </c>
      <c r="B280" s="2">
        <v>45724</v>
      </c>
      <c r="C280" t="s">
        <v>17</v>
      </c>
      <c r="D280" t="s">
        <v>18</v>
      </c>
      <c r="E280" t="s">
        <v>32</v>
      </c>
      <c r="F280" t="s">
        <v>28</v>
      </c>
      <c r="G280" t="s">
        <v>29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304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305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306</v>
      </c>
      <c r="B283" s="2">
        <v>45778</v>
      </c>
      <c r="C283" t="s">
        <v>17</v>
      </c>
      <c r="D283" t="s">
        <v>27</v>
      </c>
      <c r="E283" t="s">
        <v>24</v>
      </c>
      <c r="F283" t="s">
        <v>28</v>
      </c>
      <c r="G283" t="s">
        <v>29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307</v>
      </c>
      <c r="B284" s="2">
        <v>45678</v>
      </c>
      <c r="C284" t="s">
        <v>17</v>
      </c>
      <c r="D284" t="s">
        <v>30</v>
      </c>
      <c r="E284" t="s">
        <v>24</v>
      </c>
      <c r="F284" t="s">
        <v>35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308</v>
      </c>
      <c r="B285" s="2">
        <v>45698</v>
      </c>
      <c r="C285" t="s">
        <v>17</v>
      </c>
      <c r="D285" t="s">
        <v>18</v>
      </c>
      <c r="E285" t="s">
        <v>19</v>
      </c>
      <c r="F285" t="s">
        <v>34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309</v>
      </c>
      <c r="B286" s="2">
        <v>45783</v>
      </c>
      <c r="C286" t="s">
        <v>17</v>
      </c>
      <c r="D286" t="s">
        <v>30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310</v>
      </c>
      <c r="B287" s="2">
        <v>45696</v>
      </c>
      <c r="C287" t="s">
        <v>17</v>
      </c>
      <c r="D287" t="s">
        <v>18</v>
      </c>
      <c r="E287" t="s">
        <v>19</v>
      </c>
      <c r="F287" t="s">
        <v>28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311</v>
      </c>
      <c r="B288" s="2">
        <v>45808</v>
      </c>
      <c r="C288" t="s">
        <v>17</v>
      </c>
      <c r="D288" t="s">
        <v>27</v>
      </c>
      <c r="E288" t="s">
        <v>24</v>
      </c>
      <c r="F288" t="s">
        <v>35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312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313</v>
      </c>
      <c r="B290" s="2">
        <v>45698</v>
      </c>
      <c r="C290" t="s">
        <v>17</v>
      </c>
      <c r="D290" t="s">
        <v>18</v>
      </c>
      <c r="E290" t="s">
        <v>24</v>
      </c>
      <c r="F290" t="s">
        <v>35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314</v>
      </c>
      <c r="B291" s="2">
        <v>45688</v>
      </c>
      <c r="C291" t="s">
        <v>17</v>
      </c>
      <c r="D291" t="s">
        <v>23</v>
      </c>
      <c r="E291" t="s">
        <v>24</v>
      </c>
      <c r="F291" t="s">
        <v>35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315</v>
      </c>
      <c r="B292" s="2">
        <v>45732</v>
      </c>
      <c r="C292" t="s">
        <v>17</v>
      </c>
      <c r="D292" t="s">
        <v>27</v>
      </c>
      <c r="E292" t="s">
        <v>24</v>
      </c>
      <c r="F292" t="s">
        <v>28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316</v>
      </c>
      <c r="B293" s="2">
        <v>45771</v>
      </c>
      <c r="C293" t="s">
        <v>17</v>
      </c>
      <c r="D293" t="s">
        <v>30</v>
      </c>
      <c r="E293" t="s">
        <v>24</v>
      </c>
      <c r="F293" t="s">
        <v>35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317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318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319</v>
      </c>
      <c r="B296" s="2">
        <v>45739</v>
      </c>
      <c r="C296" t="s">
        <v>17</v>
      </c>
      <c r="D296" t="s">
        <v>27</v>
      </c>
      <c r="E296" t="s">
        <v>24</v>
      </c>
      <c r="F296" t="s">
        <v>25</v>
      </c>
      <c r="G296" t="s">
        <v>29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320</v>
      </c>
      <c r="B297" s="2">
        <v>45808</v>
      </c>
      <c r="C297" t="s">
        <v>17</v>
      </c>
      <c r="D297" t="s">
        <v>27</v>
      </c>
      <c r="E297" t="s">
        <v>24</v>
      </c>
      <c r="F297" t="s">
        <v>28</v>
      </c>
      <c r="G297" t="s">
        <v>29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321</v>
      </c>
      <c r="B298" s="2">
        <v>45760</v>
      </c>
      <c r="C298" t="s">
        <v>17</v>
      </c>
      <c r="D298" t="s">
        <v>23</v>
      </c>
      <c r="E298" t="s">
        <v>24</v>
      </c>
      <c r="F298" t="s">
        <v>35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322</v>
      </c>
      <c r="B299" s="2">
        <v>45791</v>
      </c>
      <c r="C299" t="s">
        <v>17</v>
      </c>
      <c r="D299" t="s">
        <v>18</v>
      </c>
      <c r="E299" t="s">
        <v>32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323</v>
      </c>
      <c r="B300" s="2">
        <v>45707</v>
      </c>
      <c r="C300" t="s">
        <v>17</v>
      </c>
      <c r="D300" t="s">
        <v>27</v>
      </c>
      <c r="E300" t="s">
        <v>24</v>
      </c>
      <c r="F300" t="s">
        <v>28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324</v>
      </c>
      <c r="B301" s="2">
        <v>45681</v>
      </c>
      <c r="C301" t="s">
        <v>17</v>
      </c>
      <c r="D301" t="s">
        <v>30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325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326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327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328</v>
      </c>
      <c r="B305" s="2">
        <v>45700</v>
      </c>
      <c r="C305" t="s">
        <v>17</v>
      </c>
      <c r="D305" t="s">
        <v>30</v>
      </c>
      <c r="E305" t="s">
        <v>24</v>
      </c>
      <c r="F305" t="s">
        <v>35</v>
      </c>
      <c r="G305" t="s">
        <v>29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329</v>
      </c>
      <c r="B306" s="2">
        <v>45662</v>
      </c>
      <c r="C306" t="s">
        <v>17</v>
      </c>
      <c r="D306" t="s">
        <v>30</v>
      </c>
      <c r="E306" t="s">
        <v>32</v>
      </c>
      <c r="F306" t="s">
        <v>35</v>
      </c>
      <c r="G306" t="s">
        <v>29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330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29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331</v>
      </c>
      <c r="B308" s="2">
        <v>45690</v>
      </c>
      <c r="C308" t="s">
        <v>17</v>
      </c>
      <c r="D308" t="s">
        <v>18</v>
      </c>
      <c r="E308" t="s">
        <v>24</v>
      </c>
      <c r="F308" t="s">
        <v>35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332</v>
      </c>
      <c r="B309" s="2">
        <v>45687</v>
      </c>
      <c r="C309" t="s">
        <v>17</v>
      </c>
      <c r="D309" t="s">
        <v>23</v>
      </c>
      <c r="E309" t="s">
        <v>32</v>
      </c>
      <c r="F309" t="s">
        <v>28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333</v>
      </c>
      <c r="B310" s="2">
        <v>45778</v>
      </c>
      <c r="C310" t="s">
        <v>17</v>
      </c>
      <c r="D310" t="s">
        <v>30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334</v>
      </c>
      <c r="B311" s="2">
        <v>45793</v>
      </c>
      <c r="C311" t="s">
        <v>17</v>
      </c>
      <c r="D311" t="s">
        <v>30</v>
      </c>
      <c r="E311" t="s">
        <v>19</v>
      </c>
      <c r="F311" t="s">
        <v>34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335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336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337</v>
      </c>
      <c r="B314" s="2">
        <v>45807</v>
      </c>
      <c r="C314" t="s">
        <v>17</v>
      </c>
      <c r="D314" t="s">
        <v>30</v>
      </c>
      <c r="E314" t="s">
        <v>32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338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29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339</v>
      </c>
      <c r="B316" s="2">
        <v>45677</v>
      </c>
      <c r="C316" t="s">
        <v>17</v>
      </c>
      <c r="D316" t="s">
        <v>27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340</v>
      </c>
      <c r="B317" s="2">
        <v>45778</v>
      </c>
      <c r="C317" t="s">
        <v>17</v>
      </c>
      <c r="D317" t="s">
        <v>27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341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29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342</v>
      </c>
      <c r="B319" s="2">
        <v>45748</v>
      </c>
      <c r="C319" t="s">
        <v>17</v>
      </c>
      <c r="D319" t="s">
        <v>27</v>
      </c>
      <c r="E319" t="s">
        <v>19</v>
      </c>
      <c r="F319" t="s">
        <v>34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343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344</v>
      </c>
      <c r="B321" s="2">
        <v>45722</v>
      </c>
      <c r="C321" t="s">
        <v>17</v>
      </c>
      <c r="D321" t="s">
        <v>30</v>
      </c>
      <c r="E321" t="s">
        <v>19</v>
      </c>
      <c r="F321" t="s">
        <v>28</v>
      </c>
      <c r="G321" t="s">
        <v>29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345</v>
      </c>
      <c r="B322" s="2">
        <v>45748</v>
      </c>
      <c r="C322" t="s">
        <v>17</v>
      </c>
      <c r="D322" t="s">
        <v>18</v>
      </c>
      <c r="E322" t="s">
        <v>19</v>
      </c>
      <c r="F322" t="s">
        <v>34</v>
      </c>
      <c r="G322" t="s">
        <v>29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346</v>
      </c>
      <c r="B323" s="2">
        <v>45697</v>
      </c>
      <c r="C323" t="s">
        <v>17</v>
      </c>
      <c r="D323" t="s">
        <v>18</v>
      </c>
      <c r="E323" t="s">
        <v>19</v>
      </c>
      <c r="F323" t="s">
        <v>35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347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348</v>
      </c>
      <c r="B325" s="2">
        <v>45734</v>
      </c>
      <c r="C325" t="s">
        <v>17</v>
      </c>
      <c r="D325" t="s">
        <v>27</v>
      </c>
      <c r="E325" t="s">
        <v>24</v>
      </c>
      <c r="F325" t="s">
        <v>35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349</v>
      </c>
      <c r="B326" s="2">
        <v>45750</v>
      </c>
      <c r="C326" t="s">
        <v>17</v>
      </c>
      <c r="D326" t="s">
        <v>27</v>
      </c>
      <c r="E326" t="s">
        <v>24</v>
      </c>
      <c r="F326" t="s">
        <v>28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350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29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351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352</v>
      </c>
      <c r="B329" s="2">
        <v>45776</v>
      </c>
      <c r="C329" t="s">
        <v>17</v>
      </c>
      <c r="D329" t="s">
        <v>23</v>
      </c>
      <c r="E329" t="s">
        <v>19</v>
      </c>
      <c r="F329" t="s">
        <v>28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353</v>
      </c>
      <c r="B330" s="2">
        <v>45715</v>
      </c>
      <c r="C330" t="s">
        <v>17</v>
      </c>
      <c r="D330" t="s">
        <v>30</v>
      </c>
      <c r="E330" t="s">
        <v>24</v>
      </c>
      <c r="F330" t="s">
        <v>28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354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29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355</v>
      </c>
      <c r="B332" s="2">
        <v>45701</v>
      </c>
      <c r="C332" t="s">
        <v>17</v>
      </c>
      <c r="D332" t="s">
        <v>27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356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357</v>
      </c>
      <c r="B334" s="2">
        <v>45726</v>
      </c>
      <c r="C334" t="s">
        <v>17</v>
      </c>
      <c r="D334" t="s">
        <v>27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358</v>
      </c>
      <c r="B335" s="2">
        <v>45667</v>
      </c>
      <c r="C335" t="s">
        <v>17</v>
      </c>
      <c r="D335" t="s">
        <v>23</v>
      </c>
      <c r="E335" t="s">
        <v>32</v>
      </c>
      <c r="F335" t="s">
        <v>35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359</v>
      </c>
      <c r="B336" s="2">
        <v>45673</v>
      </c>
      <c r="C336" t="s">
        <v>17</v>
      </c>
      <c r="D336" t="s">
        <v>30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360</v>
      </c>
      <c r="B337" s="2">
        <v>45699</v>
      </c>
      <c r="C337" t="s">
        <v>17</v>
      </c>
      <c r="D337" t="s">
        <v>30</v>
      </c>
      <c r="E337" t="s">
        <v>19</v>
      </c>
      <c r="F337" t="s">
        <v>25</v>
      </c>
      <c r="G337" t="s">
        <v>29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361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362</v>
      </c>
      <c r="B339" s="2">
        <v>45696</v>
      </c>
      <c r="C339" t="s">
        <v>17</v>
      </c>
      <c r="D339" t="s">
        <v>27</v>
      </c>
      <c r="E339" t="s">
        <v>24</v>
      </c>
      <c r="F339" t="s">
        <v>28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363</v>
      </c>
      <c r="B340" s="2">
        <v>45747</v>
      </c>
      <c r="C340" t="s">
        <v>17</v>
      </c>
      <c r="D340" t="s">
        <v>23</v>
      </c>
      <c r="E340" t="s">
        <v>19</v>
      </c>
      <c r="F340" t="s">
        <v>34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364</v>
      </c>
      <c r="B341" s="2">
        <v>45688</v>
      </c>
      <c r="C341" t="s">
        <v>17</v>
      </c>
      <c r="D341" t="s">
        <v>23</v>
      </c>
      <c r="E341" t="s">
        <v>19</v>
      </c>
      <c r="F341" t="s">
        <v>34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365</v>
      </c>
      <c r="B342" s="2">
        <v>45785</v>
      </c>
      <c r="C342" t="s">
        <v>17</v>
      </c>
      <c r="D342" t="s">
        <v>23</v>
      </c>
      <c r="E342" t="s">
        <v>32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366</v>
      </c>
      <c r="B343" s="2">
        <v>45731</v>
      </c>
      <c r="C343" t="s">
        <v>17</v>
      </c>
      <c r="D343" t="s">
        <v>18</v>
      </c>
      <c r="E343" t="s">
        <v>24</v>
      </c>
      <c r="F343" t="s">
        <v>28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367</v>
      </c>
      <c r="B344" s="2">
        <v>45670</v>
      </c>
      <c r="C344" t="s">
        <v>17</v>
      </c>
      <c r="D344" t="s">
        <v>30</v>
      </c>
      <c r="E344" t="s">
        <v>24</v>
      </c>
      <c r="F344" t="s">
        <v>34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368</v>
      </c>
      <c r="B345" s="2">
        <v>45723</v>
      </c>
      <c r="C345" t="s">
        <v>17</v>
      </c>
      <c r="D345" t="s">
        <v>30</v>
      </c>
      <c r="E345" t="s">
        <v>32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369</v>
      </c>
      <c r="B346" s="2">
        <v>45698</v>
      </c>
      <c r="C346" t="s">
        <v>17</v>
      </c>
      <c r="D346" t="s">
        <v>30</v>
      </c>
      <c r="E346" t="s">
        <v>24</v>
      </c>
      <c r="F346" t="s">
        <v>35</v>
      </c>
      <c r="G346" t="s">
        <v>29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370</v>
      </c>
      <c r="B347" s="2">
        <v>45728</v>
      </c>
      <c r="C347" t="s">
        <v>17</v>
      </c>
      <c r="D347" t="s">
        <v>27</v>
      </c>
      <c r="E347" t="s">
        <v>24</v>
      </c>
      <c r="F347" t="s">
        <v>28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371</v>
      </c>
      <c r="B348" s="2">
        <v>45660</v>
      </c>
      <c r="C348" t="s">
        <v>17</v>
      </c>
      <c r="D348" t="s">
        <v>30</v>
      </c>
      <c r="E348" t="s">
        <v>19</v>
      </c>
      <c r="F348" t="s">
        <v>28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372</v>
      </c>
      <c r="B349" s="2">
        <v>45775</v>
      </c>
      <c r="C349" t="s">
        <v>17</v>
      </c>
      <c r="D349" t="s">
        <v>18</v>
      </c>
      <c r="E349" t="s">
        <v>32</v>
      </c>
      <c r="F349" t="s">
        <v>35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373</v>
      </c>
      <c r="B350" s="2">
        <v>45764</v>
      </c>
      <c r="C350" t="s">
        <v>17</v>
      </c>
      <c r="D350" t="s">
        <v>27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374</v>
      </c>
      <c r="B351" s="2">
        <v>45800</v>
      </c>
      <c r="C351" t="s">
        <v>17</v>
      </c>
      <c r="D351" t="s">
        <v>30</v>
      </c>
      <c r="E351" t="s">
        <v>19</v>
      </c>
      <c r="F351" t="s">
        <v>35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375</v>
      </c>
      <c r="B352" s="2">
        <v>45707</v>
      </c>
      <c r="C352" t="s">
        <v>17</v>
      </c>
      <c r="D352" t="s">
        <v>23</v>
      </c>
      <c r="E352" t="s">
        <v>32</v>
      </c>
      <c r="F352" t="s">
        <v>34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376</v>
      </c>
      <c r="B353" s="2">
        <v>45675</v>
      </c>
      <c r="C353" t="s">
        <v>17</v>
      </c>
      <c r="D353" t="s">
        <v>30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377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378</v>
      </c>
      <c r="B355" s="2">
        <v>45759</v>
      </c>
      <c r="C355" t="s">
        <v>17</v>
      </c>
      <c r="D355" t="s">
        <v>27</v>
      </c>
      <c r="E355" t="s">
        <v>32</v>
      </c>
      <c r="F355" t="s">
        <v>35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379</v>
      </c>
      <c r="B356" s="2">
        <v>45793</v>
      </c>
      <c r="C356" t="s">
        <v>17</v>
      </c>
      <c r="D356" t="s">
        <v>27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380</v>
      </c>
      <c r="B357" s="2">
        <v>45740</v>
      </c>
      <c r="C357" t="s">
        <v>17</v>
      </c>
      <c r="D357" t="s">
        <v>23</v>
      </c>
      <c r="E357" t="s">
        <v>24</v>
      </c>
      <c r="F357" t="s">
        <v>35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381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382</v>
      </c>
      <c r="B359" s="2">
        <v>45735</v>
      </c>
      <c r="C359" t="s">
        <v>17</v>
      </c>
      <c r="D359" t="s">
        <v>18</v>
      </c>
      <c r="E359" t="s">
        <v>32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383</v>
      </c>
      <c r="B360" s="2">
        <v>45768</v>
      </c>
      <c r="C360" t="s">
        <v>17</v>
      </c>
      <c r="D360" t="s">
        <v>30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384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385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386</v>
      </c>
      <c r="B363" s="2">
        <v>45729</v>
      </c>
      <c r="C363" t="s">
        <v>17</v>
      </c>
      <c r="D363" t="s">
        <v>18</v>
      </c>
      <c r="E363" t="s">
        <v>24</v>
      </c>
      <c r="F363" t="s">
        <v>35</v>
      </c>
      <c r="G363" t="s">
        <v>29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387</v>
      </c>
      <c r="B364" s="2">
        <v>45687</v>
      </c>
      <c r="C364" t="s">
        <v>17</v>
      </c>
      <c r="D364" t="s">
        <v>18</v>
      </c>
      <c r="E364" t="s">
        <v>24</v>
      </c>
      <c r="F364" t="s">
        <v>35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388</v>
      </c>
      <c r="B365" s="2">
        <v>45785</v>
      </c>
      <c r="C365" t="s">
        <v>17</v>
      </c>
      <c r="D365" t="s">
        <v>30</v>
      </c>
      <c r="E365" t="s">
        <v>24</v>
      </c>
      <c r="F365" t="s">
        <v>35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389</v>
      </c>
      <c r="B366" s="2">
        <v>45665</v>
      </c>
      <c r="C366" t="s">
        <v>17</v>
      </c>
      <c r="D366" t="s">
        <v>27</v>
      </c>
      <c r="E366" t="s">
        <v>19</v>
      </c>
      <c r="F366" t="s">
        <v>35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390</v>
      </c>
      <c r="B367" s="2">
        <v>45780</v>
      </c>
      <c r="C367" t="s">
        <v>17</v>
      </c>
      <c r="D367" t="s">
        <v>30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391</v>
      </c>
      <c r="B368" s="2">
        <v>45700</v>
      </c>
      <c r="C368" t="s">
        <v>17</v>
      </c>
      <c r="D368" t="s">
        <v>27</v>
      </c>
      <c r="E368" t="s">
        <v>24</v>
      </c>
      <c r="F368" t="s">
        <v>28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392</v>
      </c>
      <c r="B369" s="2">
        <v>45713</v>
      </c>
      <c r="C369" t="s">
        <v>17</v>
      </c>
      <c r="D369" t="s">
        <v>30</v>
      </c>
      <c r="E369" t="s">
        <v>32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393</v>
      </c>
      <c r="B370" s="2">
        <v>45761</v>
      </c>
      <c r="C370" t="s">
        <v>17</v>
      </c>
      <c r="D370" t="s">
        <v>30</v>
      </c>
      <c r="E370" t="s">
        <v>24</v>
      </c>
      <c r="F370" t="s">
        <v>34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394</v>
      </c>
      <c r="B371" s="2">
        <v>45665</v>
      </c>
      <c r="C371" t="s">
        <v>17</v>
      </c>
      <c r="D371" t="s">
        <v>18</v>
      </c>
      <c r="E371" t="s">
        <v>24</v>
      </c>
      <c r="F371" t="s">
        <v>34</v>
      </c>
      <c r="G371" t="s">
        <v>29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395</v>
      </c>
      <c r="B372" s="2">
        <v>45730</v>
      </c>
      <c r="C372" t="s">
        <v>17</v>
      </c>
      <c r="D372" t="s">
        <v>27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396</v>
      </c>
      <c r="B373" s="2">
        <v>45776</v>
      </c>
      <c r="C373" t="s">
        <v>17</v>
      </c>
      <c r="D373" t="s">
        <v>18</v>
      </c>
      <c r="E373" t="s">
        <v>19</v>
      </c>
      <c r="F373" t="s">
        <v>28</v>
      </c>
      <c r="G373" t="s">
        <v>29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397</v>
      </c>
      <c r="B374" s="2">
        <v>45778</v>
      </c>
      <c r="C374" t="s">
        <v>17</v>
      </c>
      <c r="D374" t="s">
        <v>27</v>
      </c>
      <c r="E374" t="s">
        <v>19</v>
      </c>
      <c r="F374" t="s">
        <v>35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398</v>
      </c>
      <c r="B375" s="2">
        <v>45735</v>
      </c>
      <c r="C375" t="s">
        <v>17</v>
      </c>
      <c r="D375" t="s">
        <v>18</v>
      </c>
      <c r="E375" t="s">
        <v>24</v>
      </c>
      <c r="F375" t="s">
        <v>34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399</v>
      </c>
      <c r="B376" s="2">
        <v>45778</v>
      </c>
      <c r="C376" t="s">
        <v>17</v>
      </c>
      <c r="D376" t="s">
        <v>30</v>
      </c>
      <c r="E376" t="s">
        <v>19</v>
      </c>
      <c r="F376" t="s">
        <v>35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400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401</v>
      </c>
      <c r="B378" s="2">
        <v>45739</v>
      </c>
      <c r="C378" t="s">
        <v>17</v>
      </c>
      <c r="D378" t="s">
        <v>18</v>
      </c>
      <c r="E378" t="s">
        <v>24</v>
      </c>
      <c r="F378" t="s">
        <v>28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402</v>
      </c>
      <c r="B379" s="2">
        <v>45696</v>
      </c>
      <c r="C379" t="s">
        <v>17</v>
      </c>
      <c r="D379" t="s">
        <v>27</v>
      </c>
      <c r="E379" t="s">
        <v>24</v>
      </c>
      <c r="F379" t="s">
        <v>34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403</v>
      </c>
      <c r="B380" s="2">
        <v>45762</v>
      </c>
      <c r="C380" t="s">
        <v>17</v>
      </c>
      <c r="D380" t="s">
        <v>23</v>
      </c>
      <c r="E380" t="s">
        <v>32</v>
      </c>
      <c r="F380" t="s">
        <v>28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404</v>
      </c>
      <c r="B381" s="2">
        <v>45660</v>
      </c>
      <c r="C381" t="s">
        <v>17</v>
      </c>
      <c r="D381" t="s">
        <v>30</v>
      </c>
      <c r="E381" t="s">
        <v>19</v>
      </c>
      <c r="F381" t="s">
        <v>28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405</v>
      </c>
      <c r="B382" s="2">
        <v>45739</v>
      </c>
      <c r="C382" t="s">
        <v>17</v>
      </c>
      <c r="D382" t="s">
        <v>23</v>
      </c>
      <c r="E382" t="s">
        <v>24</v>
      </c>
      <c r="F382" t="s">
        <v>35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406</v>
      </c>
      <c r="B383" s="2">
        <v>45804</v>
      </c>
      <c r="C383" t="s">
        <v>17</v>
      </c>
      <c r="D383" t="s">
        <v>30</v>
      </c>
      <c r="E383" t="s">
        <v>24</v>
      </c>
      <c r="F383" t="s">
        <v>34</v>
      </c>
      <c r="G383" t="s">
        <v>29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407</v>
      </c>
      <c r="B384" s="2">
        <v>45777</v>
      </c>
      <c r="C384" t="s">
        <v>17</v>
      </c>
      <c r="D384" t="s">
        <v>27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408</v>
      </c>
      <c r="B385" s="2">
        <v>45723</v>
      </c>
      <c r="C385" t="s">
        <v>17</v>
      </c>
      <c r="D385" t="s">
        <v>23</v>
      </c>
      <c r="E385" t="s">
        <v>24</v>
      </c>
      <c r="F385" t="s">
        <v>35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409</v>
      </c>
      <c r="B386" s="2">
        <v>45787</v>
      </c>
      <c r="C386" t="s">
        <v>17</v>
      </c>
      <c r="D386" t="s">
        <v>30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410</v>
      </c>
      <c r="B387" s="2">
        <v>45799</v>
      </c>
      <c r="C387" t="s">
        <v>17</v>
      </c>
      <c r="D387" t="s">
        <v>27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411</v>
      </c>
      <c r="B388" s="2">
        <v>45697</v>
      </c>
      <c r="C388" t="s">
        <v>17</v>
      </c>
      <c r="D388" t="s">
        <v>27</v>
      </c>
      <c r="E388" t="s">
        <v>24</v>
      </c>
      <c r="F388" t="s">
        <v>28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412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29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413</v>
      </c>
      <c r="B390" s="2">
        <v>45778</v>
      </c>
      <c r="C390" t="s">
        <v>17</v>
      </c>
      <c r="D390" t="s">
        <v>30</v>
      </c>
      <c r="E390" t="s">
        <v>24</v>
      </c>
      <c r="F390" t="s">
        <v>25</v>
      </c>
      <c r="G390" t="s">
        <v>29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414</v>
      </c>
      <c r="B391" s="2">
        <v>45660</v>
      </c>
      <c r="C391" t="s">
        <v>17</v>
      </c>
      <c r="D391" t="s">
        <v>30</v>
      </c>
      <c r="E391" t="s">
        <v>24</v>
      </c>
      <c r="F391" t="s">
        <v>28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415</v>
      </c>
      <c r="B392" s="2">
        <v>45701</v>
      </c>
      <c r="C392" t="s">
        <v>17</v>
      </c>
      <c r="D392" t="s">
        <v>27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416</v>
      </c>
      <c r="B393" s="2">
        <v>45671</v>
      </c>
      <c r="C393" t="s">
        <v>17</v>
      </c>
      <c r="D393" t="s">
        <v>30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417</v>
      </c>
      <c r="B394" s="2">
        <v>45712</v>
      </c>
      <c r="C394" t="s">
        <v>17</v>
      </c>
      <c r="D394" t="s">
        <v>18</v>
      </c>
      <c r="E394" t="s">
        <v>24</v>
      </c>
      <c r="F394" t="s">
        <v>34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418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419</v>
      </c>
      <c r="B396" s="2">
        <v>45776</v>
      </c>
      <c r="C396" t="s">
        <v>17</v>
      </c>
      <c r="D396" t="s">
        <v>18</v>
      </c>
      <c r="E396" t="s">
        <v>24</v>
      </c>
      <c r="F396" t="s">
        <v>28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420</v>
      </c>
      <c r="B397" s="2">
        <v>45777</v>
      </c>
      <c r="C397" t="s">
        <v>17</v>
      </c>
      <c r="D397" t="s">
        <v>30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421</v>
      </c>
      <c r="B398" s="2">
        <v>45666</v>
      </c>
      <c r="C398" t="s">
        <v>17</v>
      </c>
      <c r="D398" t="s">
        <v>30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422</v>
      </c>
      <c r="B399" s="2">
        <v>45772</v>
      </c>
      <c r="C399" t="s">
        <v>17</v>
      </c>
      <c r="D399" t="s">
        <v>30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423</v>
      </c>
      <c r="B400" s="2">
        <v>45728</v>
      </c>
      <c r="C400" t="s">
        <v>17</v>
      </c>
      <c r="D400" t="s">
        <v>18</v>
      </c>
      <c r="E400" t="s">
        <v>19</v>
      </c>
      <c r="F400" t="s">
        <v>28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424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425</v>
      </c>
      <c r="B402" s="2">
        <v>45706</v>
      </c>
      <c r="C402" t="s">
        <v>17</v>
      </c>
      <c r="D402" t="s">
        <v>23</v>
      </c>
      <c r="E402" t="s">
        <v>24</v>
      </c>
      <c r="F402" t="s">
        <v>28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426</v>
      </c>
      <c r="B403" s="2">
        <v>45679</v>
      </c>
      <c r="C403" t="s">
        <v>17</v>
      </c>
      <c r="D403" t="s">
        <v>18</v>
      </c>
      <c r="E403" t="s">
        <v>24</v>
      </c>
      <c r="F403" t="s">
        <v>35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427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428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29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429</v>
      </c>
      <c r="B406" s="2">
        <v>45769</v>
      </c>
      <c r="C406" t="s">
        <v>17</v>
      </c>
      <c r="D406" t="s">
        <v>23</v>
      </c>
      <c r="E406" t="s">
        <v>19</v>
      </c>
      <c r="F406" t="s">
        <v>34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430</v>
      </c>
      <c r="B407" s="2">
        <v>45679</v>
      </c>
      <c r="C407" t="s">
        <v>17</v>
      </c>
      <c r="D407" t="s">
        <v>27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431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432</v>
      </c>
      <c r="B409" s="2">
        <v>45694</v>
      </c>
      <c r="C409" t="s">
        <v>17</v>
      </c>
      <c r="D409" t="s">
        <v>30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433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29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434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29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435</v>
      </c>
      <c r="B412" s="2">
        <v>45723</v>
      </c>
      <c r="C412" t="s">
        <v>17</v>
      </c>
      <c r="D412" t="s">
        <v>18</v>
      </c>
      <c r="E412" t="s">
        <v>24</v>
      </c>
      <c r="F412" t="s">
        <v>34</v>
      </c>
      <c r="G412" t="s">
        <v>29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436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437</v>
      </c>
      <c r="B414" s="2">
        <v>45782</v>
      </c>
      <c r="C414" t="s">
        <v>17</v>
      </c>
      <c r="D414" t="s">
        <v>18</v>
      </c>
      <c r="E414" t="s">
        <v>24</v>
      </c>
      <c r="F414" t="s">
        <v>34</v>
      </c>
      <c r="G414" t="s">
        <v>29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438</v>
      </c>
      <c r="B415" s="2">
        <v>45665</v>
      </c>
      <c r="C415" t="s">
        <v>17</v>
      </c>
      <c r="D415" t="s">
        <v>27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439</v>
      </c>
      <c r="B416" s="2">
        <v>45735</v>
      </c>
      <c r="C416" t="s">
        <v>17</v>
      </c>
      <c r="D416" t="s">
        <v>30</v>
      </c>
      <c r="E416" t="s">
        <v>24</v>
      </c>
      <c r="F416" t="s">
        <v>20</v>
      </c>
      <c r="G416" t="s">
        <v>29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440</v>
      </c>
      <c r="B417" s="2">
        <v>45687</v>
      </c>
      <c r="C417" t="s">
        <v>17</v>
      </c>
      <c r="D417" t="s">
        <v>27</v>
      </c>
      <c r="E417" t="s">
        <v>19</v>
      </c>
      <c r="F417" t="s">
        <v>28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441</v>
      </c>
      <c r="B418" s="2">
        <v>45775</v>
      </c>
      <c r="C418" t="s">
        <v>17</v>
      </c>
      <c r="D418" t="s">
        <v>27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442</v>
      </c>
      <c r="B419" s="2">
        <v>45723</v>
      </c>
      <c r="C419" t="s">
        <v>17</v>
      </c>
      <c r="D419" t="s">
        <v>18</v>
      </c>
      <c r="E419" t="s">
        <v>24</v>
      </c>
      <c r="F419" t="s">
        <v>34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443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444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29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445</v>
      </c>
      <c r="B422" s="2">
        <v>45762</v>
      </c>
      <c r="C422" t="s">
        <v>17</v>
      </c>
      <c r="D422" t="s">
        <v>30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446</v>
      </c>
      <c r="B423" s="2">
        <v>45767</v>
      </c>
      <c r="C423" t="s">
        <v>17</v>
      </c>
      <c r="D423" t="s">
        <v>27</v>
      </c>
      <c r="E423" t="s">
        <v>19</v>
      </c>
      <c r="F423" t="s">
        <v>35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447</v>
      </c>
      <c r="B424" s="2">
        <v>45807</v>
      </c>
      <c r="C424" t="s">
        <v>17</v>
      </c>
      <c r="D424" t="s">
        <v>30</v>
      </c>
      <c r="E424" t="s">
        <v>32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448</v>
      </c>
      <c r="B425" s="2">
        <v>45701</v>
      </c>
      <c r="C425" t="s">
        <v>17</v>
      </c>
      <c r="D425" t="s">
        <v>23</v>
      </c>
      <c r="E425" t="s">
        <v>24</v>
      </c>
      <c r="F425" t="s">
        <v>34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449</v>
      </c>
      <c r="B426" s="2">
        <v>45775</v>
      </c>
      <c r="C426" t="s">
        <v>17</v>
      </c>
      <c r="D426" t="s">
        <v>23</v>
      </c>
      <c r="E426" t="s">
        <v>24</v>
      </c>
      <c r="F426" t="s">
        <v>35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450</v>
      </c>
      <c r="B427" s="2">
        <v>45700</v>
      </c>
      <c r="C427" t="s">
        <v>17</v>
      </c>
      <c r="D427" t="s">
        <v>18</v>
      </c>
      <c r="E427" t="s">
        <v>24</v>
      </c>
      <c r="F427" t="s">
        <v>28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451</v>
      </c>
      <c r="B428" s="2">
        <v>45700</v>
      </c>
      <c r="C428" t="s">
        <v>17</v>
      </c>
      <c r="D428" t="s">
        <v>27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452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29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453</v>
      </c>
      <c r="B430" s="2">
        <v>45759</v>
      </c>
      <c r="C430" t="s">
        <v>17</v>
      </c>
      <c r="D430" t="s">
        <v>30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454</v>
      </c>
      <c r="B431" s="2">
        <v>45687</v>
      </c>
      <c r="C431" t="s">
        <v>17</v>
      </c>
      <c r="D431" t="s">
        <v>23</v>
      </c>
      <c r="E431" t="s">
        <v>24</v>
      </c>
      <c r="F431" t="s">
        <v>35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455</v>
      </c>
      <c r="B432" s="2">
        <v>45805</v>
      </c>
      <c r="C432" t="s">
        <v>17</v>
      </c>
      <c r="D432" t="s">
        <v>23</v>
      </c>
      <c r="E432" t="s">
        <v>24</v>
      </c>
      <c r="F432" t="s">
        <v>35</v>
      </c>
      <c r="G432" t="s">
        <v>29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456</v>
      </c>
      <c r="B433" s="2">
        <v>45778</v>
      </c>
      <c r="C433" t="s">
        <v>17</v>
      </c>
      <c r="D433" t="s">
        <v>30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457</v>
      </c>
      <c r="B434" s="2">
        <v>45691</v>
      </c>
      <c r="C434" t="s">
        <v>17</v>
      </c>
      <c r="D434" t="s">
        <v>18</v>
      </c>
      <c r="E434" t="s">
        <v>32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458</v>
      </c>
      <c r="B435" s="2">
        <v>45667</v>
      </c>
      <c r="C435" t="s">
        <v>17</v>
      </c>
      <c r="D435" t="s">
        <v>30</v>
      </c>
      <c r="E435" t="s">
        <v>19</v>
      </c>
      <c r="F435" t="s">
        <v>35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459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460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461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462</v>
      </c>
      <c r="B439" s="2">
        <v>45804</v>
      </c>
      <c r="C439" t="s">
        <v>17</v>
      </c>
      <c r="D439" t="s">
        <v>27</v>
      </c>
      <c r="E439" t="s">
        <v>24</v>
      </c>
      <c r="F439" t="s">
        <v>28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463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464</v>
      </c>
      <c r="B441" s="2">
        <v>45748</v>
      </c>
      <c r="C441" t="s">
        <v>17</v>
      </c>
      <c r="D441" t="s">
        <v>27</v>
      </c>
      <c r="E441" t="s">
        <v>24</v>
      </c>
      <c r="F441" t="s">
        <v>35</v>
      </c>
      <c r="G441" t="s">
        <v>29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465</v>
      </c>
      <c r="B442" s="2">
        <v>45679</v>
      </c>
      <c r="C442" t="s">
        <v>17</v>
      </c>
      <c r="D442" t="s">
        <v>18</v>
      </c>
      <c r="E442" t="s">
        <v>24</v>
      </c>
      <c r="F442" t="s">
        <v>28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466</v>
      </c>
      <c r="B443" s="2">
        <v>45801</v>
      </c>
      <c r="C443" t="s">
        <v>17</v>
      </c>
      <c r="D443" t="s">
        <v>27</v>
      </c>
      <c r="E443" t="s">
        <v>24</v>
      </c>
      <c r="F443" t="s">
        <v>28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467</v>
      </c>
      <c r="B444" s="2">
        <v>45772</v>
      </c>
      <c r="C444" t="s">
        <v>17</v>
      </c>
      <c r="D444" t="s">
        <v>30</v>
      </c>
      <c r="E444" t="s">
        <v>24</v>
      </c>
      <c r="F444" t="s">
        <v>35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468</v>
      </c>
      <c r="B445" s="2">
        <v>45759</v>
      </c>
      <c r="C445" t="s">
        <v>17</v>
      </c>
      <c r="D445" t="s">
        <v>23</v>
      </c>
      <c r="E445" t="s">
        <v>19</v>
      </c>
      <c r="F445" t="s">
        <v>34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469</v>
      </c>
      <c r="B446" s="2">
        <v>45770</v>
      </c>
      <c r="C446" t="s">
        <v>17</v>
      </c>
      <c r="D446" t="s">
        <v>30</v>
      </c>
      <c r="E446" t="s">
        <v>24</v>
      </c>
      <c r="F446" t="s">
        <v>25</v>
      </c>
      <c r="G446" t="s">
        <v>29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470</v>
      </c>
      <c r="B447" s="2">
        <v>45746</v>
      </c>
      <c r="C447" t="s">
        <v>17</v>
      </c>
      <c r="D447" t="s">
        <v>18</v>
      </c>
      <c r="E447" t="s">
        <v>19</v>
      </c>
      <c r="F447" t="s">
        <v>34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471</v>
      </c>
      <c r="B448" s="2">
        <v>45675</v>
      </c>
      <c r="C448" t="s">
        <v>17</v>
      </c>
      <c r="D448" t="s">
        <v>27</v>
      </c>
      <c r="E448" t="s">
        <v>24</v>
      </c>
      <c r="F448" t="s">
        <v>34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472</v>
      </c>
      <c r="B449" s="2">
        <v>45756</v>
      </c>
      <c r="C449" t="s">
        <v>17</v>
      </c>
      <c r="D449" t="s">
        <v>27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473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474</v>
      </c>
      <c r="B451" s="2">
        <v>45721</v>
      </c>
      <c r="C451" t="s">
        <v>17</v>
      </c>
      <c r="D451" t="s">
        <v>27</v>
      </c>
      <c r="E451" t="s">
        <v>24</v>
      </c>
      <c r="F451" t="s">
        <v>28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475</v>
      </c>
      <c r="B452" s="2">
        <v>45705</v>
      </c>
      <c r="C452" t="s">
        <v>17</v>
      </c>
      <c r="D452" t="s">
        <v>18</v>
      </c>
      <c r="E452" t="s">
        <v>32</v>
      </c>
      <c r="F452" t="s">
        <v>35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476</v>
      </c>
      <c r="B453" s="2">
        <v>45784</v>
      </c>
      <c r="C453" t="s">
        <v>17</v>
      </c>
      <c r="D453" t="s">
        <v>18</v>
      </c>
      <c r="E453" t="s">
        <v>19</v>
      </c>
      <c r="F453" t="s">
        <v>28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477</v>
      </c>
      <c r="B454" s="2">
        <v>45757</v>
      </c>
      <c r="C454" t="s">
        <v>17</v>
      </c>
      <c r="D454" t="s">
        <v>27</v>
      </c>
      <c r="E454" t="s">
        <v>24</v>
      </c>
      <c r="F454" t="s">
        <v>28</v>
      </c>
      <c r="G454" t="s">
        <v>29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478</v>
      </c>
      <c r="B455" s="2">
        <v>45768</v>
      </c>
      <c r="C455" t="s">
        <v>17</v>
      </c>
      <c r="D455" t="s">
        <v>18</v>
      </c>
      <c r="E455" t="s">
        <v>24</v>
      </c>
      <c r="F455" t="s">
        <v>35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479</v>
      </c>
      <c r="B456" s="2">
        <v>45713</v>
      </c>
      <c r="C456" t="s">
        <v>17</v>
      </c>
      <c r="D456" t="s">
        <v>30</v>
      </c>
      <c r="E456" t="s">
        <v>32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480</v>
      </c>
      <c r="B457" s="2">
        <v>45791</v>
      </c>
      <c r="C457" t="s">
        <v>17</v>
      </c>
      <c r="D457" t="s">
        <v>27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481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482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29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483</v>
      </c>
      <c r="B460" s="2">
        <v>45674</v>
      </c>
      <c r="C460" t="s">
        <v>17</v>
      </c>
      <c r="D460" t="s">
        <v>30</v>
      </c>
      <c r="E460" t="s">
        <v>24</v>
      </c>
      <c r="F460" t="s">
        <v>25</v>
      </c>
      <c r="G460" t="s">
        <v>29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484</v>
      </c>
      <c r="B461" s="2">
        <v>45728</v>
      </c>
      <c r="C461" t="s">
        <v>17</v>
      </c>
      <c r="D461" t="s">
        <v>30</v>
      </c>
      <c r="E461" t="s">
        <v>24</v>
      </c>
      <c r="F461" t="s">
        <v>28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485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29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486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487</v>
      </c>
      <c r="B464" s="2">
        <v>45711</v>
      </c>
      <c r="C464" t="s">
        <v>17</v>
      </c>
      <c r="D464" t="s">
        <v>18</v>
      </c>
      <c r="E464" t="s">
        <v>24</v>
      </c>
      <c r="F464" t="s">
        <v>34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488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489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490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491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492</v>
      </c>
      <c r="B469" s="2">
        <v>45798</v>
      </c>
      <c r="C469" t="s">
        <v>17</v>
      </c>
      <c r="D469" t="s">
        <v>27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493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494</v>
      </c>
      <c r="B471" s="2">
        <v>45797</v>
      </c>
      <c r="C471" t="s">
        <v>17</v>
      </c>
      <c r="D471" t="s">
        <v>23</v>
      </c>
      <c r="E471" t="s">
        <v>24</v>
      </c>
      <c r="F471" t="s">
        <v>28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495</v>
      </c>
      <c r="B472" s="2">
        <v>45666</v>
      </c>
      <c r="C472" t="s">
        <v>17</v>
      </c>
      <c r="D472" t="s">
        <v>27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496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497</v>
      </c>
      <c r="B474" s="2">
        <v>45770</v>
      </c>
      <c r="C474" t="s">
        <v>17</v>
      </c>
      <c r="D474" t="s">
        <v>30</v>
      </c>
      <c r="E474" t="s">
        <v>24</v>
      </c>
      <c r="F474" t="s">
        <v>35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498</v>
      </c>
      <c r="B475" s="2">
        <v>45724</v>
      </c>
      <c r="C475" t="s">
        <v>17</v>
      </c>
      <c r="D475" t="s">
        <v>27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499</v>
      </c>
      <c r="B476" s="2">
        <v>45702</v>
      </c>
      <c r="C476" t="s">
        <v>17</v>
      </c>
      <c r="D476" t="s">
        <v>30</v>
      </c>
      <c r="E476" t="s">
        <v>24</v>
      </c>
      <c r="F476" t="s">
        <v>34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500</v>
      </c>
      <c r="B477" s="2">
        <v>45794</v>
      </c>
      <c r="C477" t="s">
        <v>17</v>
      </c>
      <c r="D477" t="s">
        <v>23</v>
      </c>
      <c r="E477" t="s">
        <v>24</v>
      </c>
      <c r="F477" t="s">
        <v>34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501</v>
      </c>
      <c r="B478" s="2">
        <v>45772</v>
      </c>
      <c r="C478" t="s">
        <v>17</v>
      </c>
      <c r="D478" t="s">
        <v>30</v>
      </c>
      <c r="E478" t="s">
        <v>24</v>
      </c>
      <c r="F478" t="s">
        <v>34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502</v>
      </c>
      <c r="B479" s="2">
        <v>45720</v>
      </c>
      <c r="C479" t="s">
        <v>17</v>
      </c>
      <c r="D479" t="s">
        <v>30</v>
      </c>
      <c r="E479" t="s">
        <v>19</v>
      </c>
      <c r="F479" t="s">
        <v>35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503</v>
      </c>
      <c r="B480" s="2">
        <v>45734</v>
      </c>
      <c r="C480" t="s">
        <v>17</v>
      </c>
      <c r="D480" t="s">
        <v>30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504</v>
      </c>
      <c r="B481" s="2">
        <v>45687</v>
      </c>
      <c r="C481" t="s">
        <v>17</v>
      </c>
      <c r="D481" t="s">
        <v>23</v>
      </c>
      <c r="E481" t="s">
        <v>24</v>
      </c>
      <c r="F481" t="s">
        <v>28</v>
      </c>
      <c r="G481" t="s">
        <v>29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505</v>
      </c>
      <c r="B482" s="2">
        <v>45797</v>
      </c>
      <c r="C482" t="s">
        <v>17</v>
      </c>
      <c r="D482" t="s">
        <v>23</v>
      </c>
      <c r="E482" t="s">
        <v>32</v>
      </c>
      <c r="F482" t="s">
        <v>34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506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507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508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509</v>
      </c>
      <c r="B486" s="2">
        <v>45728</v>
      </c>
      <c r="C486" t="s">
        <v>17</v>
      </c>
      <c r="D486" t="s">
        <v>18</v>
      </c>
      <c r="E486" t="s">
        <v>19</v>
      </c>
      <c r="F486" t="s">
        <v>35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510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511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29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512</v>
      </c>
      <c r="B489" s="2">
        <v>45734</v>
      </c>
      <c r="C489" t="s">
        <v>17</v>
      </c>
      <c r="D489" t="s">
        <v>30</v>
      </c>
      <c r="E489" t="s">
        <v>24</v>
      </c>
      <c r="F489" t="s">
        <v>34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513</v>
      </c>
      <c r="B490" s="2">
        <v>45662</v>
      </c>
      <c r="C490" t="s">
        <v>17</v>
      </c>
      <c r="D490" t="s">
        <v>30</v>
      </c>
      <c r="E490" t="s">
        <v>24</v>
      </c>
      <c r="F490" t="s">
        <v>28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514</v>
      </c>
      <c r="B491" s="2">
        <v>45787</v>
      </c>
      <c r="C491" t="s">
        <v>17</v>
      </c>
      <c r="D491" t="s">
        <v>30</v>
      </c>
      <c r="E491" t="s">
        <v>19</v>
      </c>
      <c r="F491" t="s">
        <v>34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515</v>
      </c>
      <c r="B492" s="2">
        <v>45660</v>
      </c>
      <c r="C492" t="s">
        <v>17</v>
      </c>
      <c r="D492" t="s">
        <v>30</v>
      </c>
      <c r="E492" t="s">
        <v>24</v>
      </c>
      <c r="F492" t="s">
        <v>35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516</v>
      </c>
      <c r="B493" s="2">
        <v>45785</v>
      </c>
      <c r="C493" t="s">
        <v>17</v>
      </c>
      <c r="D493" t="s">
        <v>30</v>
      </c>
      <c r="E493" t="s">
        <v>24</v>
      </c>
      <c r="F493" t="s">
        <v>28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517</v>
      </c>
      <c r="B494" s="2">
        <v>45721</v>
      </c>
      <c r="C494" t="s">
        <v>17</v>
      </c>
      <c r="D494" t="s">
        <v>30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518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29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519</v>
      </c>
      <c r="B496" s="2">
        <v>45666</v>
      </c>
      <c r="C496" t="s">
        <v>17</v>
      </c>
      <c r="D496" t="s">
        <v>30</v>
      </c>
      <c r="E496" t="s">
        <v>24</v>
      </c>
      <c r="F496" t="s">
        <v>34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520</v>
      </c>
      <c r="B497" s="2">
        <v>45782</v>
      </c>
      <c r="C497" t="s">
        <v>17</v>
      </c>
      <c r="D497" t="s">
        <v>30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521</v>
      </c>
      <c r="B498" s="2">
        <v>45763</v>
      </c>
      <c r="C498" t="s">
        <v>17</v>
      </c>
      <c r="D498" t="s">
        <v>27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522</v>
      </c>
      <c r="B499" s="2">
        <v>45718</v>
      </c>
      <c r="C499" t="s">
        <v>17</v>
      </c>
      <c r="D499" t="s">
        <v>30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523</v>
      </c>
      <c r="B500" s="2">
        <v>45761</v>
      </c>
      <c r="C500" t="s">
        <v>17</v>
      </c>
      <c r="D500" t="s">
        <v>30</v>
      </c>
      <c r="E500" t="s">
        <v>24</v>
      </c>
      <c r="F500" t="s">
        <v>35</v>
      </c>
      <c r="G500" t="s">
        <v>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524</v>
      </c>
      <c r="B501" s="2">
        <v>45703</v>
      </c>
      <c r="C501" t="s">
        <v>17</v>
      </c>
      <c r="D501" t="s">
        <v>27</v>
      </c>
      <c r="E501" t="s">
        <v>19</v>
      </c>
      <c r="F501" t="s">
        <v>28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525</v>
      </c>
      <c r="B502" s="2">
        <v>45701</v>
      </c>
      <c r="C502" t="s">
        <v>17</v>
      </c>
      <c r="D502" t="s">
        <v>23</v>
      </c>
      <c r="E502" t="s">
        <v>24</v>
      </c>
      <c r="F502" t="s">
        <v>35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526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527</v>
      </c>
      <c r="B504" s="2">
        <v>45706</v>
      </c>
      <c r="C504" t="s">
        <v>17</v>
      </c>
      <c r="D504" t="s">
        <v>30</v>
      </c>
      <c r="E504" t="s">
        <v>19</v>
      </c>
      <c r="F504" t="s">
        <v>35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528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529</v>
      </c>
      <c r="B506" s="2">
        <v>45753</v>
      </c>
      <c r="C506" t="s">
        <v>17</v>
      </c>
      <c r="D506" t="s">
        <v>18</v>
      </c>
      <c r="E506" t="s">
        <v>24</v>
      </c>
      <c r="F506" t="s">
        <v>34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530</v>
      </c>
      <c r="B507" s="2">
        <v>45687</v>
      </c>
      <c r="C507" t="s">
        <v>17</v>
      </c>
      <c r="D507" t="s">
        <v>18</v>
      </c>
      <c r="E507" t="s">
        <v>19</v>
      </c>
      <c r="F507" t="s">
        <v>35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531</v>
      </c>
      <c r="B508" s="2">
        <v>45790</v>
      </c>
      <c r="C508" t="s">
        <v>17</v>
      </c>
      <c r="D508" t="s">
        <v>30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532</v>
      </c>
      <c r="B509" s="2">
        <v>45677</v>
      </c>
      <c r="C509" t="s">
        <v>17</v>
      </c>
      <c r="D509" t="s">
        <v>23</v>
      </c>
      <c r="E509" t="s">
        <v>24</v>
      </c>
      <c r="F509" t="s">
        <v>28</v>
      </c>
      <c r="G509" t="s">
        <v>29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533</v>
      </c>
      <c r="B510" s="2">
        <v>45687</v>
      </c>
      <c r="C510" t="s">
        <v>17</v>
      </c>
      <c r="D510" t="s">
        <v>18</v>
      </c>
      <c r="E510" t="s">
        <v>32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534</v>
      </c>
      <c r="B511" s="2">
        <v>45670</v>
      </c>
      <c r="C511" t="s">
        <v>17</v>
      </c>
      <c r="D511" t="s">
        <v>30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535</v>
      </c>
      <c r="B512" s="2">
        <v>45699</v>
      </c>
      <c r="C512" t="s">
        <v>17</v>
      </c>
      <c r="D512" t="s">
        <v>18</v>
      </c>
      <c r="E512" t="s">
        <v>24</v>
      </c>
      <c r="F512" t="s">
        <v>35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536</v>
      </c>
      <c r="B513" s="2">
        <v>45762</v>
      </c>
      <c r="C513" t="s">
        <v>17</v>
      </c>
      <c r="D513" t="s">
        <v>30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537</v>
      </c>
      <c r="B514" s="2">
        <v>45701</v>
      </c>
      <c r="C514" t="s">
        <v>17</v>
      </c>
      <c r="D514" t="s">
        <v>30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538</v>
      </c>
      <c r="B515" s="2">
        <v>45786</v>
      </c>
      <c r="C515" t="s">
        <v>17</v>
      </c>
      <c r="D515" t="s">
        <v>30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539</v>
      </c>
      <c r="B516" s="2">
        <v>45726</v>
      </c>
      <c r="C516" t="s">
        <v>17</v>
      </c>
      <c r="D516" t="s">
        <v>18</v>
      </c>
      <c r="E516" t="s">
        <v>24</v>
      </c>
      <c r="F516" t="s">
        <v>28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540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541</v>
      </c>
      <c r="B518" s="2">
        <v>45792</v>
      </c>
      <c r="C518" t="s">
        <v>17</v>
      </c>
      <c r="D518" t="s">
        <v>27</v>
      </c>
      <c r="E518" t="s">
        <v>24</v>
      </c>
      <c r="F518" t="s">
        <v>34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542</v>
      </c>
      <c r="B519" s="2">
        <v>45781</v>
      </c>
      <c r="C519" t="s">
        <v>17</v>
      </c>
      <c r="D519" t="s">
        <v>30</v>
      </c>
      <c r="E519" t="s">
        <v>19</v>
      </c>
      <c r="F519" t="s">
        <v>35</v>
      </c>
      <c r="G519" t="s">
        <v>29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543</v>
      </c>
      <c r="B520" s="2">
        <v>45797</v>
      </c>
      <c r="C520" t="s">
        <v>17</v>
      </c>
      <c r="D520" t="s">
        <v>27</v>
      </c>
      <c r="E520" t="s">
        <v>24</v>
      </c>
      <c r="F520" t="s">
        <v>28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544</v>
      </c>
      <c r="B521" s="2">
        <v>45793</v>
      </c>
      <c r="C521" t="s">
        <v>17</v>
      </c>
      <c r="D521" t="s">
        <v>23</v>
      </c>
      <c r="E521" t="s">
        <v>19</v>
      </c>
      <c r="F521" t="s">
        <v>34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545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546</v>
      </c>
      <c r="B523" s="2">
        <v>45684</v>
      </c>
      <c r="C523" t="s">
        <v>17</v>
      </c>
      <c r="D523" t="s">
        <v>27</v>
      </c>
      <c r="E523" t="s">
        <v>32</v>
      </c>
      <c r="F523" t="s">
        <v>28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547</v>
      </c>
      <c r="B524" s="2">
        <v>45760</v>
      </c>
      <c r="C524" t="s">
        <v>17</v>
      </c>
      <c r="D524" t="s">
        <v>30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548</v>
      </c>
      <c r="B525" s="2">
        <v>45780</v>
      </c>
      <c r="C525" t="s">
        <v>17</v>
      </c>
      <c r="D525" t="s">
        <v>30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549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550</v>
      </c>
      <c r="B527" s="2">
        <v>45658</v>
      </c>
      <c r="C527" t="s">
        <v>17</v>
      </c>
      <c r="D527" t="s">
        <v>23</v>
      </c>
      <c r="E527" t="s">
        <v>24</v>
      </c>
      <c r="F527" t="s">
        <v>28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551</v>
      </c>
      <c r="B528" s="2">
        <v>45694</v>
      </c>
      <c r="C528" t="s">
        <v>17</v>
      </c>
      <c r="D528" t="s">
        <v>23</v>
      </c>
      <c r="E528" t="s">
        <v>24</v>
      </c>
      <c r="F528" t="s">
        <v>28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552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553</v>
      </c>
      <c r="B530" s="2">
        <v>45791</v>
      </c>
      <c r="C530" t="s">
        <v>17</v>
      </c>
      <c r="D530" t="s">
        <v>27</v>
      </c>
      <c r="E530" t="s">
        <v>32</v>
      </c>
      <c r="F530" t="s">
        <v>35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554</v>
      </c>
      <c r="B531" s="2">
        <v>45797</v>
      </c>
      <c r="C531" t="s">
        <v>17</v>
      </c>
      <c r="D531" t="s">
        <v>30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555</v>
      </c>
      <c r="B532" s="2">
        <v>45699</v>
      </c>
      <c r="C532" t="s">
        <v>17</v>
      </c>
      <c r="D532" t="s">
        <v>30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556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557</v>
      </c>
      <c r="B534" s="2">
        <v>45754</v>
      </c>
      <c r="C534" t="s">
        <v>17</v>
      </c>
      <c r="D534" t="s">
        <v>30</v>
      </c>
      <c r="E534" t="s">
        <v>24</v>
      </c>
      <c r="F534" t="s">
        <v>28</v>
      </c>
      <c r="G534" t="s">
        <v>29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558</v>
      </c>
      <c r="B535" s="2">
        <v>45724</v>
      </c>
      <c r="C535" t="s">
        <v>17</v>
      </c>
      <c r="D535" t="s">
        <v>27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559</v>
      </c>
      <c r="B536" s="2">
        <v>45704</v>
      </c>
      <c r="C536" t="s">
        <v>17</v>
      </c>
      <c r="D536" t="s">
        <v>18</v>
      </c>
      <c r="E536" t="s">
        <v>19</v>
      </c>
      <c r="F536" t="s">
        <v>28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560</v>
      </c>
      <c r="B537" s="2">
        <v>45775</v>
      </c>
      <c r="C537" t="s">
        <v>17</v>
      </c>
      <c r="D537" t="s">
        <v>30</v>
      </c>
      <c r="E537" t="s">
        <v>24</v>
      </c>
      <c r="F537" t="s">
        <v>28</v>
      </c>
      <c r="G537" t="s">
        <v>29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561</v>
      </c>
      <c r="B538" s="2">
        <v>45726</v>
      </c>
      <c r="C538" t="s">
        <v>17</v>
      </c>
      <c r="D538" t="s">
        <v>23</v>
      </c>
      <c r="E538" t="s">
        <v>32</v>
      </c>
      <c r="F538" t="s">
        <v>35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562</v>
      </c>
      <c r="B539" s="2">
        <v>45682</v>
      </c>
      <c r="C539" t="s">
        <v>17</v>
      </c>
      <c r="D539" t="s">
        <v>27</v>
      </c>
      <c r="E539" t="s">
        <v>24</v>
      </c>
      <c r="F539" t="s">
        <v>35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563</v>
      </c>
      <c r="B540" s="2">
        <v>45668</v>
      </c>
      <c r="C540" t="s">
        <v>17</v>
      </c>
      <c r="D540" t="s">
        <v>23</v>
      </c>
      <c r="E540" t="s">
        <v>24</v>
      </c>
      <c r="F540" t="s">
        <v>28</v>
      </c>
      <c r="G540" t="s">
        <v>29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564</v>
      </c>
      <c r="B541" s="2">
        <v>45747</v>
      </c>
      <c r="C541" t="s">
        <v>17</v>
      </c>
      <c r="D541" t="s">
        <v>23</v>
      </c>
      <c r="E541" t="s">
        <v>32</v>
      </c>
      <c r="F541" t="s">
        <v>28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565</v>
      </c>
      <c r="B542" s="2">
        <v>45799</v>
      </c>
      <c r="C542" t="s">
        <v>17</v>
      </c>
      <c r="D542" t="s">
        <v>18</v>
      </c>
      <c r="E542" t="s">
        <v>24</v>
      </c>
      <c r="F542" t="s">
        <v>28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566</v>
      </c>
      <c r="B543" s="2">
        <v>45793</v>
      </c>
      <c r="C543" t="s">
        <v>17</v>
      </c>
      <c r="D543" t="s">
        <v>18</v>
      </c>
      <c r="E543" t="s">
        <v>24</v>
      </c>
      <c r="F543" t="s">
        <v>34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567</v>
      </c>
      <c r="B544" s="2">
        <v>45772</v>
      </c>
      <c r="C544" t="s">
        <v>17</v>
      </c>
      <c r="D544" t="s">
        <v>27</v>
      </c>
      <c r="E544" t="s">
        <v>19</v>
      </c>
      <c r="F544" t="s">
        <v>28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568</v>
      </c>
      <c r="B545" s="2">
        <v>45764</v>
      </c>
      <c r="C545" t="s">
        <v>17</v>
      </c>
      <c r="D545" t="s">
        <v>27</v>
      </c>
      <c r="E545" t="s">
        <v>24</v>
      </c>
      <c r="F545" t="s">
        <v>35</v>
      </c>
      <c r="G545" t="s">
        <v>29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569</v>
      </c>
      <c r="B546" s="2">
        <v>45658</v>
      </c>
      <c r="C546" t="s">
        <v>17</v>
      </c>
      <c r="D546" t="s">
        <v>30</v>
      </c>
      <c r="E546" t="s">
        <v>19</v>
      </c>
      <c r="F546" t="s">
        <v>35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570</v>
      </c>
      <c r="B547" s="2">
        <v>45734</v>
      </c>
      <c r="C547" t="s">
        <v>17</v>
      </c>
      <c r="D547" t="s">
        <v>27</v>
      </c>
      <c r="E547" t="s">
        <v>24</v>
      </c>
      <c r="F547" t="s">
        <v>28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571</v>
      </c>
      <c r="B548" s="2">
        <v>45797</v>
      </c>
      <c r="C548" t="s">
        <v>17</v>
      </c>
      <c r="D548" t="s">
        <v>18</v>
      </c>
      <c r="E548" t="s">
        <v>32</v>
      </c>
      <c r="F548" t="s">
        <v>28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572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573</v>
      </c>
      <c r="B550" s="2">
        <v>45807</v>
      </c>
      <c r="C550" t="s">
        <v>17</v>
      </c>
      <c r="D550" t="s">
        <v>27</v>
      </c>
      <c r="E550" t="s">
        <v>19</v>
      </c>
      <c r="F550" t="s">
        <v>35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574</v>
      </c>
      <c r="B551" s="2">
        <v>45708</v>
      </c>
      <c r="C551" t="s">
        <v>17</v>
      </c>
      <c r="D551" t="s">
        <v>18</v>
      </c>
      <c r="E551" t="s">
        <v>24</v>
      </c>
      <c r="F551" t="s">
        <v>35</v>
      </c>
      <c r="G551" t="s">
        <v>29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575</v>
      </c>
      <c r="B552" s="2">
        <v>45699</v>
      </c>
      <c r="C552" t="s">
        <v>17</v>
      </c>
      <c r="D552" t="s">
        <v>27</v>
      </c>
      <c r="F552" t="s">
        <v>35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576</v>
      </c>
      <c r="B553" s="2">
        <v>45659</v>
      </c>
      <c r="C553" t="s">
        <v>17</v>
      </c>
      <c r="D553" t="s">
        <v>30</v>
      </c>
      <c r="E553" t="s">
        <v>32</v>
      </c>
      <c r="F553" t="s">
        <v>34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577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578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579</v>
      </c>
      <c r="B556" s="2">
        <v>45699</v>
      </c>
      <c r="C556" t="s">
        <v>17</v>
      </c>
      <c r="D556" t="s">
        <v>30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580</v>
      </c>
      <c r="B557" s="2">
        <v>45783</v>
      </c>
      <c r="C557" t="s">
        <v>17</v>
      </c>
      <c r="D557" t="s">
        <v>30</v>
      </c>
      <c r="E557" t="s">
        <v>24</v>
      </c>
      <c r="F557" t="s">
        <v>35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581</v>
      </c>
      <c r="B558" s="2">
        <v>45800</v>
      </c>
      <c r="C558" t="s">
        <v>17</v>
      </c>
      <c r="D558" t="s">
        <v>18</v>
      </c>
      <c r="E558" t="s">
        <v>24</v>
      </c>
      <c r="F558" t="s">
        <v>28</v>
      </c>
      <c r="G558" t="s">
        <v>29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582</v>
      </c>
      <c r="B559" s="2">
        <v>45666</v>
      </c>
      <c r="C559" t="s">
        <v>17</v>
      </c>
      <c r="D559" t="s">
        <v>18</v>
      </c>
      <c r="E559" t="s">
        <v>19</v>
      </c>
      <c r="F559" t="s">
        <v>28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583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29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584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585</v>
      </c>
      <c r="B562" s="2">
        <v>45708</v>
      </c>
      <c r="C562" t="s">
        <v>17</v>
      </c>
      <c r="D562" t="s">
        <v>18</v>
      </c>
      <c r="E562" t="s">
        <v>24</v>
      </c>
      <c r="F562" t="s">
        <v>35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586</v>
      </c>
      <c r="B563" s="2">
        <v>45746</v>
      </c>
      <c r="C563" t="s">
        <v>17</v>
      </c>
      <c r="D563" t="s">
        <v>27</v>
      </c>
      <c r="E563" t="s">
        <v>24</v>
      </c>
      <c r="F563" t="s">
        <v>35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587</v>
      </c>
      <c r="B564" s="2">
        <v>45757</v>
      </c>
      <c r="C564" t="s">
        <v>17</v>
      </c>
      <c r="D564" t="s">
        <v>27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588</v>
      </c>
      <c r="B565" s="2">
        <v>45740</v>
      </c>
      <c r="C565" t="s">
        <v>17</v>
      </c>
      <c r="D565" t="s">
        <v>27</v>
      </c>
      <c r="E565" t="s">
        <v>24</v>
      </c>
      <c r="F565" t="s">
        <v>25</v>
      </c>
      <c r="G565" t="s">
        <v>29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589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590</v>
      </c>
      <c r="B567" s="2">
        <v>45745</v>
      </c>
      <c r="C567" t="s">
        <v>17</v>
      </c>
      <c r="D567" t="s">
        <v>27</v>
      </c>
      <c r="E567" t="s">
        <v>24</v>
      </c>
      <c r="F567" t="s">
        <v>35</v>
      </c>
      <c r="G567" t="s">
        <v>29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591</v>
      </c>
      <c r="B568" s="2">
        <v>45711</v>
      </c>
      <c r="C568" t="s">
        <v>17</v>
      </c>
      <c r="D568" t="s">
        <v>18</v>
      </c>
      <c r="E568" t="s">
        <v>32</v>
      </c>
      <c r="F568" t="s">
        <v>34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592</v>
      </c>
      <c r="B569" s="2">
        <v>45704</v>
      </c>
      <c r="C569" t="s">
        <v>17</v>
      </c>
      <c r="D569" t="s">
        <v>23</v>
      </c>
      <c r="E569" t="s">
        <v>24</v>
      </c>
      <c r="F569" t="s">
        <v>28</v>
      </c>
      <c r="G569" t="s">
        <v>29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593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594</v>
      </c>
      <c r="B571" s="2">
        <v>45664</v>
      </c>
      <c r="C571" t="s">
        <v>17</v>
      </c>
      <c r="D571" t="s">
        <v>18</v>
      </c>
      <c r="E571" t="s">
        <v>24</v>
      </c>
      <c r="F571" t="s">
        <v>34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595</v>
      </c>
      <c r="B572" s="2">
        <v>45722</v>
      </c>
      <c r="C572" t="s">
        <v>17</v>
      </c>
      <c r="D572" t="s">
        <v>23</v>
      </c>
      <c r="E572" t="s">
        <v>24</v>
      </c>
      <c r="F572" t="s">
        <v>28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596</v>
      </c>
      <c r="B573" s="2">
        <v>45746</v>
      </c>
      <c r="C573" t="s">
        <v>17</v>
      </c>
      <c r="D573" t="s">
        <v>27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597</v>
      </c>
      <c r="B574" s="2">
        <v>45808</v>
      </c>
      <c r="C574" t="s">
        <v>17</v>
      </c>
      <c r="D574" t="s">
        <v>30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598</v>
      </c>
      <c r="B575" s="2">
        <v>45708</v>
      </c>
      <c r="C575" t="s">
        <v>17</v>
      </c>
      <c r="D575" t="s">
        <v>30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599</v>
      </c>
      <c r="B576" s="2">
        <v>45670</v>
      </c>
      <c r="C576" t="s">
        <v>17</v>
      </c>
      <c r="D576" t="s">
        <v>23</v>
      </c>
      <c r="E576" t="s">
        <v>24</v>
      </c>
      <c r="F576" t="s">
        <v>35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600</v>
      </c>
      <c r="B577" s="2">
        <v>45790</v>
      </c>
      <c r="C577" t="s">
        <v>17</v>
      </c>
      <c r="D577" t="s">
        <v>27</v>
      </c>
      <c r="E577" t="s">
        <v>19</v>
      </c>
      <c r="F577" t="s">
        <v>28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601</v>
      </c>
      <c r="B578" s="2">
        <v>45768</v>
      </c>
      <c r="C578" t="s">
        <v>17</v>
      </c>
      <c r="D578" t="s">
        <v>30</v>
      </c>
      <c r="E578" t="s">
        <v>32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602</v>
      </c>
      <c r="B579" s="2">
        <v>45717</v>
      </c>
      <c r="C579" t="s">
        <v>17</v>
      </c>
      <c r="D579" t="s">
        <v>27</v>
      </c>
      <c r="E579" t="s">
        <v>32</v>
      </c>
      <c r="F579" t="s">
        <v>25</v>
      </c>
      <c r="G579" t="s">
        <v>29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603</v>
      </c>
      <c r="B580" s="2">
        <v>45726</v>
      </c>
      <c r="C580" t="s">
        <v>17</v>
      </c>
      <c r="D580" t="s">
        <v>23</v>
      </c>
      <c r="E580" t="s">
        <v>32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604</v>
      </c>
      <c r="B581" s="2">
        <v>45724</v>
      </c>
      <c r="C581" t="s">
        <v>17</v>
      </c>
      <c r="D581" t="s">
        <v>27</v>
      </c>
      <c r="E581" t="s">
        <v>19</v>
      </c>
      <c r="F581" t="s">
        <v>28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605</v>
      </c>
      <c r="B582" s="2">
        <v>45803</v>
      </c>
      <c r="C582" t="s">
        <v>17</v>
      </c>
      <c r="D582" t="s">
        <v>30</v>
      </c>
      <c r="E582" t="s">
        <v>19</v>
      </c>
      <c r="F582" t="s">
        <v>28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606</v>
      </c>
      <c r="B583" s="2">
        <v>45797</v>
      </c>
      <c r="C583" t="s">
        <v>17</v>
      </c>
      <c r="D583" t="s">
        <v>27</v>
      </c>
      <c r="E583" t="s">
        <v>19</v>
      </c>
      <c r="F583" t="s">
        <v>28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607</v>
      </c>
      <c r="B584" s="2">
        <v>45738</v>
      </c>
      <c r="C584" t="s">
        <v>17</v>
      </c>
      <c r="D584" t="s">
        <v>23</v>
      </c>
      <c r="E584" t="s">
        <v>19</v>
      </c>
      <c r="F584" t="s">
        <v>28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608</v>
      </c>
      <c r="B585" s="2">
        <v>45703</v>
      </c>
      <c r="C585" t="s">
        <v>17</v>
      </c>
      <c r="D585" t="s">
        <v>30</v>
      </c>
      <c r="E585" t="s">
        <v>19</v>
      </c>
      <c r="F585" t="s">
        <v>28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609</v>
      </c>
      <c r="B586" s="2">
        <v>45665</v>
      </c>
      <c r="C586" t="s">
        <v>17</v>
      </c>
      <c r="D586" t="s">
        <v>18</v>
      </c>
      <c r="E586" t="s">
        <v>24</v>
      </c>
      <c r="F586" t="s">
        <v>35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610</v>
      </c>
      <c r="B587" s="2">
        <v>45686</v>
      </c>
      <c r="C587" t="s">
        <v>17</v>
      </c>
      <c r="D587" t="s">
        <v>30</v>
      </c>
      <c r="E587" t="s">
        <v>24</v>
      </c>
      <c r="F587" t="s">
        <v>25</v>
      </c>
      <c r="G587" t="s">
        <v>29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611</v>
      </c>
      <c r="B588" s="2">
        <v>45784</v>
      </c>
      <c r="C588" t="s">
        <v>17</v>
      </c>
      <c r="D588" t="s">
        <v>27</v>
      </c>
      <c r="E588" t="s">
        <v>32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612</v>
      </c>
      <c r="B589" s="2">
        <v>45717</v>
      </c>
      <c r="C589" t="s">
        <v>17</v>
      </c>
      <c r="D589" t="s">
        <v>18</v>
      </c>
      <c r="E589" t="s">
        <v>24</v>
      </c>
      <c r="F589" t="s">
        <v>35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613</v>
      </c>
      <c r="B590" s="2">
        <v>45767</v>
      </c>
      <c r="C590" t="s">
        <v>17</v>
      </c>
      <c r="D590" t="s">
        <v>27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614</v>
      </c>
      <c r="B591" s="2">
        <v>45673</v>
      </c>
      <c r="C591" t="s">
        <v>17</v>
      </c>
      <c r="D591" t="s">
        <v>27</v>
      </c>
      <c r="E591" t="s">
        <v>24</v>
      </c>
      <c r="F591" t="s">
        <v>25</v>
      </c>
      <c r="G591" t="s">
        <v>29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615</v>
      </c>
      <c r="B592" s="2">
        <v>45751</v>
      </c>
      <c r="C592" t="s">
        <v>17</v>
      </c>
      <c r="D592" t="s">
        <v>27</v>
      </c>
      <c r="E592" t="s">
        <v>24</v>
      </c>
      <c r="F592" t="s">
        <v>28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616</v>
      </c>
      <c r="B593" s="2">
        <v>45686</v>
      </c>
      <c r="C593" t="s">
        <v>17</v>
      </c>
      <c r="D593" t="s">
        <v>18</v>
      </c>
      <c r="E593" t="s">
        <v>32</v>
      </c>
      <c r="F593" t="s">
        <v>35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617</v>
      </c>
      <c r="B594" s="2">
        <v>45766</v>
      </c>
      <c r="C594" t="s">
        <v>17</v>
      </c>
      <c r="D594" t="s">
        <v>27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618</v>
      </c>
      <c r="B595" s="2">
        <v>45726</v>
      </c>
      <c r="C595" t="s">
        <v>17</v>
      </c>
      <c r="D595" t="s">
        <v>30</v>
      </c>
      <c r="E595" t="s">
        <v>24</v>
      </c>
      <c r="F595" t="s">
        <v>35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619</v>
      </c>
      <c r="B596" s="2">
        <v>45787</v>
      </c>
      <c r="C596" t="s">
        <v>17</v>
      </c>
      <c r="D596" t="s">
        <v>30</v>
      </c>
      <c r="E596" t="s">
        <v>24</v>
      </c>
      <c r="F596" t="s">
        <v>35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620</v>
      </c>
      <c r="B597" s="2">
        <v>45690</v>
      </c>
      <c r="C597" t="s">
        <v>17</v>
      </c>
      <c r="D597" t="s">
        <v>18</v>
      </c>
      <c r="E597" t="s">
        <v>24</v>
      </c>
      <c r="F597" t="s">
        <v>35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621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622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623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624</v>
      </c>
      <c r="B601" s="2">
        <v>45780</v>
      </c>
      <c r="C601" t="s">
        <v>17</v>
      </c>
      <c r="D601" t="s">
        <v>30</v>
      </c>
      <c r="E601" t="s">
        <v>19</v>
      </c>
      <c r="F601" t="s">
        <v>28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625</v>
      </c>
      <c r="B602" s="2">
        <v>45804</v>
      </c>
      <c r="C602" t="s">
        <v>17</v>
      </c>
      <c r="D602" t="s">
        <v>27</v>
      </c>
      <c r="E602" t="s">
        <v>19</v>
      </c>
      <c r="F602" t="s">
        <v>34</v>
      </c>
      <c r="G602" t="s">
        <v>29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626</v>
      </c>
      <c r="B603" s="2">
        <v>45697</v>
      </c>
      <c r="C603" t="s">
        <v>17</v>
      </c>
      <c r="D603" t="s">
        <v>30</v>
      </c>
      <c r="E603" t="s">
        <v>19</v>
      </c>
      <c r="F603" t="s">
        <v>35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627</v>
      </c>
      <c r="B604" s="2">
        <v>45795</v>
      </c>
      <c r="C604" t="s">
        <v>17</v>
      </c>
      <c r="D604" t="s">
        <v>27</v>
      </c>
      <c r="E604" t="s">
        <v>24</v>
      </c>
      <c r="F604" t="s">
        <v>28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628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629</v>
      </c>
      <c r="B606" s="2">
        <v>45682</v>
      </c>
      <c r="C606" t="s">
        <v>17</v>
      </c>
      <c r="D606" t="s">
        <v>27</v>
      </c>
      <c r="E606" t="s">
        <v>19</v>
      </c>
      <c r="F606" t="s">
        <v>34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630</v>
      </c>
      <c r="B607" s="2">
        <v>45781</v>
      </c>
      <c r="C607" t="s">
        <v>17</v>
      </c>
      <c r="D607" t="s">
        <v>23</v>
      </c>
      <c r="E607" t="s">
        <v>24</v>
      </c>
      <c r="F607" t="s">
        <v>28</v>
      </c>
      <c r="G607" t="s">
        <v>29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631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632</v>
      </c>
      <c r="B609" s="2">
        <v>45765</v>
      </c>
      <c r="C609" t="s">
        <v>17</v>
      </c>
      <c r="D609" t="s">
        <v>30</v>
      </c>
      <c r="E609" t="s">
        <v>24</v>
      </c>
      <c r="F609" t="s">
        <v>28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633</v>
      </c>
      <c r="B610" s="2">
        <v>45712</v>
      </c>
      <c r="C610" t="s">
        <v>17</v>
      </c>
      <c r="D610" t="s">
        <v>30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634</v>
      </c>
      <c r="B611" s="2">
        <v>45766</v>
      </c>
      <c r="C611" t="s">
        <v>17</v>
      </c>
      <c r="D611" t="s">
        <v>18</v>
      </c>
      <c r="E611" t="s">
        <v>32</v>
      </c>
      <c r="F611" t="s">
        <v>28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635</v>
      </c>
      <c r="B612" s="2">
        <v>45723</v>
      </c>
      <c r="C612" t="s">
        <v>17</v>
      </c>
      <c r="D612" t="s">
        <v>30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636</v>
      </c>
      <c r="B613" s="2">
        <v>45725</v>
      </c>
      <c r="C613" t="s">
        <v>17</v>
      </c>
      <c r="D613" t="s">
        <v>27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637</v>
      </c>
      <c r="B614" s="2">
        <v>45778</v>
      </c>
      <c r="C614" t="s">
        <v>17</v>
      </c>
      <c r="D614" t="s">
        <v>30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638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29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639</v>
      </c>
      <c r="B616" s="2">
        <v>45799</v>
      </c>
      <c r="C616" t="s">
        <v>17</v>
      </c>
      <c r="D616" t="s">
        <v>23</v>
      </c>
      <c r="E616" t="s">
        <v>24</v>
      </c>
      <c r="F616" t="s">
        <v>34</v>
      </c>
      <c r="G616" t="s">
        <v>29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640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29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641</v>
      </c>
      <c r="B618" s="2">
        <v>45759</v>
      </c>
      <c r="C618" t="s">
        <v>17</v>
      </c>
      <c r="D618" t="s">
        <v>18</v>
      </c>
      <c r="E618" t="s">
        <v>24</v>
      </c>
      <c r="F618" t="s">
        <v>34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642</v>
      </c>
      <c r="B619" s="2">
        <v>45717</v>
      </c>
      <c r="C619" t="s">
        <v>17</v>
      </c>
      <c r="D619" t="s">
        <v>23</v>
      </c>
      <c r="E619" t="s">
        <v>24</v>
      </c>
      <c r="F619" t="s">
        <v>35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643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644</v>
      </c>
      <c r="B621" s="2">
        <v>45668</v>
      </c>
      <c r="C621" t="s">
        <v>17</v>
      </c>
      <c r="D621" t="s">
        <v>18</v>
      </c>
      <c r="E621" t="s">
        <v>24</v>
      </c>
      <c r="F621" t="s">
        <v>28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645</v>
      </c>
      <c r="B622" s="2">
        <v>45705</v>
      </c>
      <c r="C622" t="s">
        <v>17</v>
      </c>
      <c r="D622" t="s">
        <v>30</v>
      </c>
      <c r="E622" t="s">
        <v>24</v>
      </c>
      <c r="F622" t="s">
        <v>35</v>
      </c>
      <c r="G622" t="s">
        <v>29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646</v>
      </c>
      <c r="B623" s="2">
        <v>45741</v>
      </c>
      <c r="C623" t="s">
        <v>17</v>
      </c>
      <c r="D623" t="s">
        <v>27</v>
      </c>
      <c r="E623" t="s">
        <v>24</v>
      </c>
      <c r="F623" t="s">
        <v>28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647</v>
      </c>
      <c r="B624" s="2">
        <v>45778</v>
      </c>
      <c r="C624" t="s">
        <v>17</v>
      </c>
      <c r="D624" t="s">
        <v>30</v>
      </c>
      <c r="E624" t="s">
        <v>24</v>
      </c>
      <c r="F624" t="s">
        <v>28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648</v>
      </c>
      <c r="B625" s="2">
        <v>45749</v>
      </c>
      <c r="C625" t="s">
        <v>17</v>
      </c>
      <c r="D625" t="s">
        <v>27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649</v>
      </c>
      <c r="B626" s="2">
        <v>45752</v>
      </c>
      <c r="C626" t="s">
        <v>17</v>
      </c>
      <c r="D626" t="s">
        <v>27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650</v>
      </c>
      <c r="B627" s="2">
        <v>45712</v>
      </c>
      <c r="C627" t="s">
        <v>17</v>
      </c>
      <c r="D627" t="s">
        <v>18</v>
      </c>
      <c r="E627" t="s">
        <v>19</v>
      </c>
      <c r="F627" t="s">
        <v>35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651</v>
      </c>
      <c r="B628" s="2">
        <v>45681</v>
      </c>
      <c r="C628" t="s">
        <v>17</v>
      </c>
      <c r="D628" t="s">
        <v>23</v>
      </c>
      <c r="E628" t="s">
        <v>24</v>
      </c>
      <c r="F628" t="s">
        <v>28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652</v>
      </c>
      <c r="B629" s="2">
        <v>45757</v>
      </c>
      <c r="C629" t="s">
        <v>17</v>
      </c>
      <c r="D629" t="s">
        <v>30</v>
      </c>
      <c r="E629" t="s">
        <v>24</v>
      </c>
      <c r="F629" t="s">
        <v>28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653</v>
      </c>
      <c r="B630" s="2">
        <v>45707</v>
      </c>
      <c r="C630" t="s">
        <v>17</v>
      </c>
      <c r="D630" t="s">
        <v>30</v>
      </c>
      <c r="E630" t="s">
        <v>24</v>
      </c>
      <c r="F630" t="s">
        <v>34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654</v>
      </c>
      <c r="B631" s="2">
        <v>45738</v>
      </c>
      <c r="C631" t="s">
        <v>17</v>
      </c>
      <c r="D631" t="s">
        <v>18</v>
      </c>
      <c r="E631" t="s">
        <v>24</v>
      </c>
      <c r="F631" t="s">
        <v>35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655</v>
      </c>
      <c r="B632" s="2">
        <v>45755</v>
      </c>
      <c r="C632" t="s">
        <v>17</v>
      </c>
      <c r="D632" t="s">
        <v>27</v>
      </c>
      <c r="E632" t="s">
        <v>19</v>
      </c>
      <c r="F632" t="s">
        <v>25</v>
      </c>
      <c r="G632" t="s">
        <v>29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656</v>
      </c>
      <c r="B633" s="2">
        <v>45732</v>
      </c>
      <c r="C633" t="s">
        <v>17</v>
      </c>
      <c r="D633" t="s">
        <v>18</v>
      </c>
      <c r="E633" t="s">
        <v>24</v>
      </c>
      <c r="F633" t="s">
        <v>35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657</v>
      </c>
      <c r="B634" s="2">
        <v>45723</v>
      </c>
      <c r="C634" t="s">
        <v>17</v>
      </c>
      <c r="D634" t="s">
        <v>27</v>
      </c>
      <c r="E634" t="s">
        <v>24</v>
      </c>
      <c r="F634" t="s">
        <v>28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658</v>
      </c>
      <c r="B635" s="2">
        <v>45732</v>
      </c>
      <c r="C635" t="s">
        <v>17</v>
      </c>
      <c r="D635" t="s">
        <v>30</v>
      </c>
      <c r="E635" t="s">
        <v>24</v>
      </c>
      <c r="F635" t="s">
        <v>34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659</v>
      </c>
      <c r="B636" s="2">
        <v>45803</v>
      </c>
      <c r="C636" t="s">
        <v>17</v>
      </c>
      <c r="D636" t="s">
        <v>27</v>
      </c>
      <c r="E636" t="s">
        <v>24</v>
      </c>
      <c r="G636" t="s">
        <v>29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660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661</v>
      </c>
      <c r="B638" s="2">
        <v>45746</v>
      </c>
      <c r="C638" t="s">
        <v>17</v>
      </c>
      <c r="D638" t="s">
        <v>23</v>
      </c>
      <c r="E638" t="s">
        <v>24</v>
      </c>
      <c r="F638" t="s">
        <v>28</v>
      </c>
      <c r="G638" t="s">
        <v>29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662</v>
      </c>
      <c r="B639" s="2">
        <v>45789</v>
      </c>
      <c r="C639" t="s">
        <v>17</v>
      </c>
      <c r="D639" t="s">
        <v>27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663</v>
      </c>
      <c r="B640" s="2">
        <v>45787</v>
      </c>
      <c r="C640" t="s">
        <v>17</v>
      </c>
      <c r="D640" t="s">
        <v>23</v>
      </c>
      <c r="E640" t="s">
        <v>24</v>
      </c>
      <c r="F640" t="s">
        <v>28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664</v>
      </c>
      <c r="B641" s="2">
        <v>45756</v>
      </c>
      <c r="C641" t="s">
        <v>17</v>
      </c>
      <c r="D641" t="s">
        <v>27</v>
      </c>
      <c r="E641" t="s">
        <v>24</v>
      </c>
      <c r="F641" t="s">
        <v>35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665</v>
      </c>
      <c r="B642" s="2">
        <v>45803</v>
      </c>
      <c r="C642" t="s">
        <v>17</v>
      </c>
      <c r="D642" t="s">
        <v>18</v>
      </c>
      <c r="E642" t="s">
        <v>24</v>
      </c>
      <c r="F642" t="s">
        <v>35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666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667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668</v>
      </c>
      <c r="B645" s="2">
        <v>45675</v>
      </c>
      <c r="C645" t="s">
        <v>17</v>
      </c>
      <c r="D645" t="s">
        <v>30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669</v>
      </c>
      <c r="B646" s="2">
        <v>45753</v>
      </c>
      <c r="C646" t="s">
        <v>17</v>
      </c>
      <c r="D646" t="s">
        <v>27</v>
      </c>
      <c r="E646" t="s">
        <v>32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670</v>
      </c>
      <c r="B647" s="2">
        <v>45764</v>
      </c>
      <c r="C647" t="s">
        <v>17</v>
      </c>
      <c r="D647" t="s">
        <v>27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671</v>
      </c>
      <c r="B648" s="2">
        <v>45695</v>
      </c>
      <c r="C648" t="s">
        <v>17</v>
      </c>
      <c r="D648" t="s">
        <v>18</v>
      </c>
      <c r="E648" t="s">
        <v>19</v>
      </c>
      <c r="F648" t="s">
        <v>28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672</v>
      </c>
      <c r="B649" s="2">
        <v>45720</v>
      </c>
      <c r="C649" t="s">
        <v>17</v>
      </c>
      <c r="D649" t="s">
        <v>27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673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29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674</v>
      </c>
      <c r="B651" s="2">
        <v>45783</v>
      </c>
      <c r="C651" t="s">
        <v>17</v>
      </c>
      <c r="D651" t="s">
        <v>30</v>
      </c>
      <c r="E651" t="s">
        <v>24</v>
      </c>
      <c r="F651" t="s">
        <v>34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675</v>
      </c>
      <c r="B652" s="2">
        <v>45741</v>
      </c>
      <c r="C652" t="s">
        <v>17</v>
      </c>
      <c r="D652" t="s">
        <v>30</v>
      </c>
      <c r="E652" t="s">
        <v>24</v>
      </c>
      <c r="F652" t="s">
        <v>34</v>
      </c>
      <c r="G652" t="s">
        <v>29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676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29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677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678</v>
      </c>
      <c r="B655" s="2">
        <v>45794</v>
      </c>
      <c r="C655" t="s">
        <v>17</v>
      </c>
      <c r="D655" t="s">
        <v>23</v>
      </c>
      <c r="E655" t="s">
        <v>24</v>
      </c>
      <c r="F655" t="s">
        <v>34</v>
      </c>
      <c r="G655" t="s">
        <v>29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679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680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29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681</v>
      </c>
      <c r="B658" s="2">
        <v>45749</v>
      </c>
      <c r="C658" t="s">
        <v>17</v>
      </c>
      <c r="D658" t="s">
        <v>30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682</v>
      </c>
      <c r="B659" s="2">
        <v>45670</v>
      </c>
      <c r="C659" t="s">
        <v>17</v>
      </c>
      <c r="D659" t="s">
        <v>30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683</v>
      </c>
      <c r="B660" s="2">
        <v>45723</v>
      </c>
      <c r="C660" t="s">
        <v>17</v>
      </c>
      <c r="D660" t="s">
        <v>27</v>
      </c>
      <c r="E660" t="s">
        <v>24</v>
      </c>
      <c r="F660" t="s">
        <v>34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684</v>
      </c>
      <c r="B661" s="2">
        <v>45767</v>
      </c>
      <c r="C661" t="s">
        <v>17</v>
      </c>
      <c r="D661" t="s">
        <v>30</v>
      </c>
      <c r="E661" t="s">
        <v>19</v>
      </c>
      <c r="F661" t="s">
        <v>35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685</v>
      </c>
      <c r="B662" s="2">
        <v>45664</v>
      </c>
      <c r="C662" t="s">
        <v>17</v>
      </c>
      <c r="D662" t="s">
        <v>30</v>
      </c>
      <c r="E662" t="s">
        <v>24</v>
      </c>
      <c r="F662" t="s">
        <v>28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686</v>
      </c>
      <c r="B663" s="2">
        <v>45770</v>
      </c>
      <c r="C663" t="s">
        <v>17</v>
      </c>
      <c r="D663" t="s">
        <v>30</v>
      </c>
      <c r="E663" t="s">
        <v>24</v>
      </c>
      <c r="F663" t="s">
        <v>34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687</v>
      </c>
      <c r="B664" s="2">
        <v>45803</v>
      </c>
      <c r="C664" t="s">
        <v>17</v>
      </c>
      <c r="D664" t="s">
        <v>18</v>
      </c>
      <c r="E664" t="s">
        <v>24</v>
      </c>
      <c r="F664" t="s">
        <v>28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688</v>
      </c>
      <c r="B665" s="2">
        <v>45733</v>
      </c>
      <c r="C665" t="s">
        <v>17</v>
      </c>
      <c r="D665" t="s">
        <v>18</v>
      </c>
      <c r="E665" t="s">
        <v>19</v>
      </c>
      <c r="F665" t="s">
        <v>35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689</v>
      </c>
      <c r="B666" s="2">
        <v>45794</v>
      </c>
      <c r="C666" t="s">
        <v>17</v>
      </c>
      <c r="D666" t="s">
        <v>18</v>
      </c>
      <c r="E666" t="s">
        <v>19</v>
      </c>
      <c r="F666" t="s">
        <v>28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690</v>
      </c>
      <c r="B667" s="2">
        <v>45709</v>
      </c>
      <c r="C667" t="s">
        <v>17</v>
      </c>
      <c r="D667" t="s">
        <v>18</v>
      </c>
      <c r="E667" t="s">
        <v>24</v>
      </c>
      <c r="F667" t="s">
        <v>28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691</v>
      </c>
      <c r="B668" s="2">
        <v>45713</v>
      </c>
      <c r="C668" t="s">
        <v>17</v>
      </c>
      <c r="D668" t="s">
        <v>27</v>
      </c>
      <c r="E668" t="s">
        <v>19</v>
      </c>
      <c r="F668" t="s">
        <v>28</v>
      </c>
      <c r="G668" t="s">
        <v>29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692</v>
      </c>
      <c r="B669" s="2">
        <v>45687</v>
      </c>
      <c r="C669" t="s">
        <v>17</v>
      </c>
      <c r="D669" t="s">
        <v>30</v>
      </c>
      <c r="E669" t="s">
        <v>24</v>
      </c>
      <c r="F669" t="s">
        <v>35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693</v>
      </c>
      <c r="B670" s="2">
        <v>45705</v>
      </c>
      <c r="C670" t="s">
        <v>17</v>
      </c>
      <c r="D670" t="s">
        <v>18</v>
      </c>
      <c r="E670" t="s">
        <v>32</v>
      </c>
      <c r="F670" t="s">
        <v>35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694</v>
      </c>
      <c r="B671" s="2">
        <v>45794</v>
      </c>
      <c r="C671" t="s">
        <v>17</v>
      </c>
      <c r="D671" t="s">
        <v>18</v>
      </c>
      <c r="E671" t="s">
        <v>19</v>
      </c>
      <c r="F671" t="s">
        <v>28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695</v>
      </c>
      <c r="B672" s="2">
        <v>45777</v>
      </c>
      <c r="C672" t="s">
        <v>17</v>
      </c>
      <c r="D672" t="s">
        <v>27</v>
      </c>
      <c r="E672" t="s">
        <v>19</v>
      </c>
      <c r="F672" t="s">
        <v>28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696</v>
      </c>
      <c r="B673" s="2">
        <v>45738</v>
      </c>
      <c r="C673" t="s">
        <v>17</v>
      </c>
      <c r="D673" t="s">
        <v>23</v>
      </c>
      <c r="E673" t="s">
        <v>24</v>
      </c>
      <c r="F673" t="s">
        <v>34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697</v>
      </c>
      <c r="B674" s="2">
        <v>45667</v>
      </c>
      <c r="C674" t="s">
        <v>17</v>
      </c>
      <c r="D674" t="s">
        <v>23</v>
      </c>
      <c r="F674" t="s">
        <v>28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698</v>
      </c>
      <c r="B675" s="2">
        <v>45737</v>
      </c>
      <c r="C675" t="s">
        <v>17</v>
      </c>
      <c r="D675" t="s">
        <v>30</v>
      </c>
      <c r="F675" t="s">
        <v>28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699</v>
      </c>
      <c r="B676" s="2">
        <v>45789</v>
      </c>
      <c r="C676" t="s">
        <v>17</v>
      </c>
      <c r="D676" t="s">
        <v>18</v>
      </c>
      <c r="E676" t="s">
        <v>19</v>
      </c>
      <c r="F676" t="s">
        <v>28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700</v>
      </c>
      <c r="B677" s="2">
        <v>45801</v>
      </c>
      <c r="C677" t="s">
        <v>17</v>
      </c>
      <c r="D677" t="s">
        <v>23</v>
      </c>
      <c r="E677" t="s">
        <v>24</v>
      </c>
      <c r="F677" t="s">
        <v>28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701</v>
      </c>
      <c r="B678" s="2">
        <v>45780</v>
      </c>
      <c r="C678" t="s">
        <v>17</v>
      </c>
      <c r="D678" t="s">
        <v>23</v>
      </c>
      <c r="E678" t="s">
        <v>32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702</v>
      </c>
      <c r="B679" s="2">
        <v>45671</v>
      </c>
      <c r="C679" t="s">
        <v>17</v>
      </c>
      <c r="D679" t="s">
        <v>30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703</v>
      </c>
      <c r="B680" s="2">
        <v>45743</v>
      </c>
      <c r="C680" t="s">
        <v>17</v>
      </c>
      <c r="D680" t="s">
        <v>23</v>
      </c>
      <c r="E680" t="s">
        <v>24</v>
      </c>
      <c r="F680" t="s">
        <v>35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704</v>
      </c>
      <c r="B681" s="2">
        <v>45716</v>
      </c>
      <c r="C681" t="s">
        <v>17</v>
      </c>
      <c r="D681" t="s">
        <v>18</v>
      </c>
      <c r="E681" t="s">
        <v>19</v>
      </c>
      <c r="F681" t="s">
        <v>34</v>
      </c>
      <c r="G681" t="s">
        <v>29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705</v>
      </c>
      <c r="B682" s="2">
        <v>45789</v>
      </c>
      <c r="C682" t="s">
        <v>17</v>
      </c>
      <c r="D682" t="s">
        <v>23</v>
      </c>
      <c r="E682" t="s">
        <v>19</v>
      </c>
      <c r="F682" t="s">
        <v>34</v>
      </c>
      <c r="G682" t="s">
        <v>29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706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707</v>
      </c>
      <c r="B684" s="2">
        <v>45797</v>
      </c>
      <c r="C684" t="s">
        <v>17</v>
      </c>
      <c r="D684" t="s">
        <v>27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708</v>
      </c>
      <c r="B685" s="2">
        <v>45712</v>
      </c>
      <c r="C685" t="s">
        <v>17</v>
      </c>
      <c r="D685" t="s">
        <v>30</v>
      </c>
      <c r="E685" t="s">
        <v>19</v>
      </c>
      <c r="F685" t="s">
        <v>34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709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29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710</v>
      </c>
      <c r="B687" s="2">
        <v>45694</v>
      </c>
      <c r="C687" t="s">
        <v>17</v>
      </c>
      <c r="D687" t="s">
        <v>30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711</v>
      </c>
      <c r="B688" s="2">
        <v>45718</v>
      </c>
      <c r="C688" t="s">
        <v>17</v>
      </c>
      <c r="D688" t="s">
        <v>18</v>
      </c>
      <c r="E688" t="s">
        <v>24</v>
      </c>
      <c r="F688" t="s">
        <v>35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712</v>
      </c>
      <c r="B689" s="2">
        <v>45775</v>
      </c>
      <c r="C689" t="s">
        <v>17</v>
      </c>
      <c r="D689" t="s">
        <v>27</v>
      </c>
      <c r="E689" t="s">
        <v>19</v>
      </c>
      <c r="F689" t="s">
        <v>28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713</v>
      </c>
      <c r="B690" s="2">
        <v>45804</v>
      </c>
      <c r="C690" t="s">
        <v>17</v>
      </c>
      <c r="D690" t="s">
        <v>18</v>
      </c>
      <c r="E690" t="s">
        <v>19</v>
      </c>
      <c r="G690" t="s">
        <v>29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714</v>
      </c>
      <c r="B691" s="2">
        <v>45754</v>
      </c>
      <c r="C691" t="s">
        <v>17</v>
      </c>
      <c r="D691" t="s">
        <v>30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715</v>
      </c>
      <c r="B692" s="2">
        <v>45761</v>
      </c>
      <c r="C692" t="s">
        <v>716</v>
      </c>
      <c r="D692" t="s">
        <v>27</v>
      </c>
      <c r="E692" t="s">
        <v>19</v>
      </c>
      <c r="F692" t="s">
        <v>35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717</v>
      </c>
      <c r="B693" s="2">
        <v>45786</v>
      </c>
      <c r="C693" t="s">
        <v>716</v>
      </c>
      <c r="D693" t="s">
        <v>27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718</v>
      </c>
      <c r="B694" s="2">
        <v>45737</v>
      </c>
      <c r="C694" t="s">
        <v>716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719</v>
      </c>
      <c r="B695" s="2">
        <v>45743</v>
      </c>
      <c r="C695" t="s">
        <v>716</v>
      </c>
      <c r="D695" t="s">
        <v>18</v>
      </c>
      <c r="E695" t="s">
        <v>19</v>
      </c>
      <c r="F695" t="s">
        <v>35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720</v>
      </c>
      <c r="B696" s="2">
        <v>45678</v>
      </c>
      <c r="C696" t="s">
        <v>716</v>
      </c>
      <c r="D696" t="s">
        <v>30</v>
      </c>
      <c r="E696" t="s">
        <v>24</v>
      </c>
      <c r="F696" t="s">
        <v>28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721</v>
      </c>
      <c r="B697" s="2">
        <v>45735</v>
      </c>
      <c r="C697" t="s">
        <v>716</v>
      </c>
      <c r="D697" t="s">
        <v>27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722</v>
      </c>
      <c r="B698" s="2">
        <v>45804</v>
      </c>
      <c r="C698" t="s">
        <v>716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723</v>
      </c>
      <c r="B699" s="2">
        <v>45658</v>
      </c>
      <c r="C699" t="s">
        <v>716</v>
      </c>
      <c r="D699" t="s">
        <v>18</v>
      </c>
      <c r="E699" t="s">
        <v>24</v>
      </c>
      <c r="F699" t="s">
        <v>35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724</v>
      </c>
      <c r="B700" s="2">
        <v>45745</v>
      </c>
      <c r="C700" t="s">
        <v>716</v>
      </c>
      <c r="D700" t="s">
        <v>23</v>
      </c>
      <c r="E700" t="s">
        <v>19</v>
      </c>
      <c r="F700" t="s">
        <v>28</v>
      </c>
      <c r="G700" t="s">
        <v>29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725</v>
      </c>
      <c r="B701" s="2">
        <v>45733</v>
      </c>
      <c r="C701" t="s">
        <v>716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726</v>
      </c>
      <c r="B702" s="2">
        <v>45782</v>
      </c>
      <c r="C702" t="s">
        <v>716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727</v>
      </c>
      <c r="B703" s="2">
        <v>45781</v>
      </c>
      <c r="C703" t="s">
        <v>716</v>
      </c>
      <c r="D703" t="s">
        <v>30</v>
      </c>
      <c r="E703" t="s">
        <v>24</v>
      </c>
      <c r="F703" t="s">
        <v>35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728</v>
      </c>
      <c r="B704" s="2">
        <v>45741</v>
      </c>
      <c r="C704" t="s">
        <v>716</v>
      </c>
      <c r="D704" t="s">
        <v>18</v>
      </c>
      <c r="E704" t="s">
        <v>24</v>
      </c>
      <c r="F704" t="s">
        <v>35</v>
      </c>
      <c r="G704" t="s">
        <v>29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729</v>
      </c>
      <c r="B705" s="2">
        <v>45764</v>
      </c>
      <c r="C705" t="s">
        <v>716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730</v>
      </c>
      <c r="B706" s="2">
        <v>45800</v>
      </c>
      <c r="C706" t="s">
        <v>716</v>
      </c>
      <c r="D706" t="s">
        <v>30</v>
      </c>
      <c r="E706" t="s">
        <v>24</v>
      </c>
      <c r="F706" t="s">
        <v>34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731</v>
      </c>
      <c r="B707" s="2">
        <v>45670</v>
      </c>
      <c r="C707" t="s">
        <v>716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732</v>
      </c>
      <c r="B708" s="2">
        <v>45686</v>
      </c>
      <c r="C708" t="s">
        <v>716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733</v>
      </c>
      <c r="B709" s="2">
        <v>45788</v>
      </c>
      <c r="C709" t="s">
        <v>716</v>
      </c>
      <c r="D709" t="s">
        <v>30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734</v>
      </c>
      <c r="B710" s="2">
        <v>45769</v>
      </c>
      <c r="C710" t="s">
        <v>716</v>
      </c>
      <c r="D710" t="s">
        <v>30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735</v>
      </c>
      <c r="B711" s="2">
        <v>45719</v>
      </c>
      <c r="C711" t="s">
        <v>716</v>
      </c>
      <c r="D711" t="s">
        <v>30</v>
      </c>
      <c r="E711" t="s">
        <v>24</v>
      </c>
      <c r="F711" t="s">
        <v>35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736</v>
      </c>
      <c r="B712" s="2">
        <v>45734</v>
      </c>
      <c r="C712" t="s">
        <v>716</v>
      </c>
      <c r="D712" t="s">
        <v>18</v>
      </c>
      <c r="E712" t="s">
        <v>24</v>
      </c>
      <c r="F712" t="s">
        <v>34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737</v>
      </c>
      <c r="B713" s="2">
        <v>45752</v>
      </c>
      <c r="C713" t="s">
        <v>716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738</v>
      </c>
      <c r="B714" s="2">
        <v>45763</v>
      </c>
      <c r="C714" t="s">
        <v>716</v>
      </c>
      <c r="D714" t="s">
        <v>27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739</v>
      </c>
      <c r="B715" s="2">
        <v>45767</v>
      </c>
      <c r="C715" t="s">
        <v>716</v>
      </c>
      <c r="D715" t="s">
        <v>30</v>
      </c>
      <c r="E715" t="s">
        <v>24</v>
      </c>
      <c r="F715" t="s">
        <v>34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740</v>
      </c>
      <c r="B716" s="2">
        <v>45703</v>
      </c>
      <c r="C716" t="s">
        <v>716</v>
      </c>
      <c r="D716" t="s">
        <v>30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741</v>
      </c>
      <c r="B717" s="2">
        <v>45678</v>
      </c>
      <c r="C717" t="s">
        <v>716</v>
      </c>
      <c r="D717" t="s">
        <v>30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742</v>
      </c>
      <c r="B718" s="2">
        <v>45800</v>
      </c>
      <c r="C718" t="s">
        <v>716</v>
      </c>
      <c r="D718" t="s">
        <v>18</v>
      </c>
      <c r="E718" t="s">
        <v>24</v>
      </c>
      <c r="F718" t="s">
        <v>28</v>
      </c>
      <c r="G718" t="s">
        <v>29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743</v>
      </c>
      <c r="B719" s="2">
        <v>45679</v>
      </c>
      <c r="C719" t="s">
        <v>716</v>
      </c>
      <c r="D719" t="s">
        <v>23</v>
      </c>
      <c r="E719" t="s">
        <v>24</v>
      </c>
      <c r="F719" t="s">
        <v>28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744</v>
      </c>
      <c r="B720" s="2">
        <v>45771</v>
      </c>
      <c r="C720" t="s">
        <v>716</v>
      </c>
      <c r="D720" t="s">
        <v>23</v>
      </c>
      <c r="E720" t="s">
        <v>24</v>
      </c>
      <c r="F720" t="s">
        <v>28</v>
      </c>
      <c r="G720" t="s">
        <v>29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745</v>
      </c>
      <c r="B721" s="2">
        <v>45674</v>
      </c>
      <c r="C721" t="s">
        <v>716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746</v>
      </c>
      <c r="B722" s="2">
        <v>45679</v>
      </c>
      <c r="C722" t="s">
        <v>716</v>
      </c>
      <c r="D722" t="s">
        <v>27</v>
      </c>
      <c r="E722" t="s">
        <v>24</v>
      </c>
      <c r="F722" t="s">
        <v>34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747</v>
      </c>
      <c r="B723" s="2">
        <v>45781</v>
      </c>
      <c r="C723" t="s">
        <v>716</v>
      </c>
      <c r="D723" t="s">
        <v>27</v>
      </c>
      <c r="E723" t="s">
        <v>19</v>
      </c>
      <c r="F723" t="s">
        <v>28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748</v>
      </c>
      <c r="B724" s="2">
        <v>45729</v>
      </c>
      <c r="C724" t="s">
        <v>716</v>
      </c>
      <c r="D724" t="s">
        <v>30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749</v>
      </c>
      <c r="B725" s="2">
        <v>45659</v>
      </c>
      <c r="C725" t="s">
        <v>716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750</v>
      </c>
      <c r="B726" s="2">
        <v>45670</v>
      </c>
      <c r="C726" t="s">
        <v>716</v>
      </c>
      <c r="D726" t="s">
        <v>27</v>
      </c>
      <c r="E726" t="s">
        <v>24</v>
      </c>
      <c r="F726" t="s">
        <v>28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751</v>
      </c>
      <c r="B727" s="2">
        <v>45697</v>
      </c>
      <c r="C727" t="s">
        <v>716</v>
      </c>
      <c r="D727" t="s">
        <v>27</v>
      </c>
      <c r="E727" t="s">
        <v>24</v>
      </c>
      <c r="F727" t="s">
        <v>35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752</v>
      </c>
      <c r="B728" s="2">
        <v>45756</v>
      </c>
      <c r="C728" t="s">
        <v>716</v>
      </c>
      <c r="D728" t="s">
        <v>27</v>
      </c>
      <c r="E728" t="s">
        <v>19</v>
      </c>
      <c r="F728" t="s">
        <v>35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753</v>
      </c>
      <c r="B729" s="2">
        <v>45659</v>
      </c>
      <c r="C729" t="s">
        <v>716</v>
      </c>
      <c r="D729" t="s">
        <v>30</v>
      </c>
      <c r="E729" t="s">
        <v>24</v>
      </c>
      <c r="F729" t="s">
        <v>28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754</v>
      </c>
      <c r="B730" s="2">
        <v>45692</v>
      </c>
      <c r="C730" t="s">
        <v>716</v>
      </c>
      <c r="D730" t="s">
        <v>30</v>
      </c>
      <c r="E730" t="s">
        <v>24</v>
      </c>
      <c r="G730" t="s">
        <v>29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755</v>
      </c>
      <c r="B731" s="2">
        <v>45707</v>
      </c>
      <c r="C731" t="s">
        <v>716</v>
      </c>
      <c r="D731" t="s">
        <v>30</v>
      </c>
      <c r="E731" t="s">
        <v>32</v>
      </c>
      <c r="F731" t="s">
        <v>28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756</v>
      </c>
      <c r="B732" s="2">
        <v>45748</v>
      </c>
      <c r="C732" t="s">
        <v>716</v>
      </c>
      <c r="D732" t="s">
        <v>27</v>
      </c>
      <c r="E732" t="s">
        <v>24</v>
      </c>
      <c r="F732" t="s">
        <v>28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757</v>
      </c>
      <c r="B733" s="2">
        <v>45686</v>
      </c>
      <c r="C733" t="s">
        <v>716</v>
      </c>
      <c r="D733" t="s">
        <v>18</v>
      </c>
      <c r="E733" t="s">
        <v>24</v>
      </c>
      <c r="F733" t="s">
        <v>34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758</v>
      </c>
      <c r="B734" s="2">
        <v>45795</v>
      </c>
      <c r="C734" t="s">
        <v>716</v>
      </c>
      <c r="D734" t="s">
        <v>18</v>
      </c>
      <c r="E734" t="s">
        <v>24</v>
      </c>
      <c r="F734" t="s">
        <v>34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759</v>
      </c>
      <c r="B735" s="2">
        <v>45762</v>
      </c>
      <c r="C735" t="s">
        <v>716</v>
      </c>
      <c r="D735" t="s">
        <v>27</v>
      </c>
      <c r="E735" t="s">
        <v>19</v>
      </c>
      <c r="F735" t="s">
        <v>35</v>
      </c>
      <c r="G735" t="s">
        <v>29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760</v>
      </c>
      <c r="B736" s="2">
        <v>45744</v>
      </c>
      <c r="C736" t="s">
        <v>716</v>
      </c>
      <c r="D736" t="s">
        <v>27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761</v>
      </c>
      <c r="B737" s="2">
        <v>45748</v>
      </c>
      <c r="C737" t="s">
        <v>716</v>
      </c>
      <c r="D737" t="s">
        <v>23</v>
      </c>
      <c r="E737" t="s">
        <v>24</v>
      </c>
      <c r="F737" t="s">
        <v>28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762</v>
      </c>
      <c r="B738" s="2">
        <v>45699</v>
      </c>
      <c r="C738" t="s">
        <v>716</v>
      </c>
      <c r="D738" t="s">
        <v>23</v>
      </c>
      <c r="E738" t="s">
        <v>24</v>
      </c>
      <c r="F738" t="s">
        <v>35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763</v>
      </c>
      <c r="B739" s="2">
        <v>45720</v>
      </c>
      <c r="C739" t="s">
        <v>716</v>
      </c>
      <c r="D739" t="s">
        <v>30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764</v>
      </c>
      <c r="B740" s="2">
        <v>45678</v>
      </c>
      <c r="C740" t="s">
        <v>716</v>
      </c>
      <c r="D740" t="s">
        <v>18</v>
      </c>
      <c r="E740" t="s">
        <v>32</v>
      </c>
      <c r="F740" t="s">
        <v>35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765</v>
      </c>
      <c r="B741" s="2">
        <v>45702</v>
      </c>
      <c r="C741" t="s">
        <v>716</v>
      </c>
      <c r="D741" t="s">
        <v>18</v>
      </c>
      <c r="E741" t="s">
        <v>24</v>
      </c>
      <c r="F741" t="s">
        <v>34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766</v>
      </c>
      <c r="B742" s="2">
        <v>45746</v>
      </c>
      <c r="C742" t="s">
        <v>716</v>
      </c>
      <c r="D742" t="s">
        <v>18</v>
      </c>
      <c r="E742" t="s">
        <v>19</v>
      </c>
      <c r="G742" t="s">
        <v>29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767</v>
      </c>
      <c r="B743" s="2">
        <v>45665</v>
      </c>
      <c r="C743" t="s">
        <v>716</v>
      </c>
      <c r="D743" t="s">
        <v>18</v>
      </c>
      <c r="E743" t="s">
        <v>24</v>
      </c>
      <c r="F743" t="s">
        <v>34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768</v>
      </c>
      <c r="B744" s="2">
        <v>45695</v>
      </c>
      <c r="C744" t="s">
        <v>716</v>
      </c>
      <c r="D744" t="s">
        <v>18</v>
      </c>
      <c r="E744" t="s">
        <v>24</v>
      </c>
      <c r="F744" t="s">
        <v>35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769</v>
      </c>
      <c r="B745" s="2">
        <v>45689</v>
      </c>
      <c r="C745" t="s">
        <v>716</v>
      </c>
      <c r="D745" t="s">
        <v>18</v>
      </c>
      <c r="E745" t="s">
        <v>32</v>
      </c>
      <c r="F745" t="s">
        <v>28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770</v>
      </c>
      <c r="B746" s="2">
        <v>45661</v>
      </c>
      <c r="C746" t="s">
        <v>716</v>
      </c>
      <c r="D746" t="s">
        <v>27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771</v>
      </c>
      <c r="B747" s="2">
        <v>45793</v>
      </c>
      <c r="C747" t="s">
        <v>716</v>
      </c>
      <c r="D747" t="s">
        <v>30</v>
      </c>
      <c r="E747" t="s">
        <v>19</v>
      </c>
      <c r="F747" t="s">
        <v>34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772</v>
      </c>
      <c r="B748" s="2">
        <v>45716</v>
      </c>
      <c r="C748" t="s">
        <v>716</v>
      </c>
      <c r="D748" t="s">
        <v>23</v>
      </c>
      <c r="E748" t="s">
        <v>24</v>
      </c>
      <c r="F748" t="s">
        <v>34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773</v>
      </c>
      <c r="B749" s="2">
        <v>45759</v>
      </c>
      <c r="C749" t="s">
        <v>716</v>
      </c>
      <c r="D749" t="s">
        <v>18</v>
      </c>
      <c r="E749" t="s">
        <v>24</v>
      </c>
      <c r="F749" t="s">
        <v>34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774</v>
      </c>
      <c r="B750" s="2">
        <v>45739</v>
      </c>
      <c r="C750" t="s">
        <v>716</v>
      </c>
      <c r="D750" t="s">
        <v>30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775</v>
      </c>
      <c r="B751" s="2">
        <v>45806</v>
      </c>
      <c r="C751" t="s">
        <v>716</v>
      </c>
      <c r="D751" t="s">
        <v>18</v>
      </c>
      <c r="E751" t="s">
        <v>32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776</v>
      </c>
      <c r="B752" s="2">
        <v>45798</v>
      </c>
      <c r="C752" t="s">
        <v>716</v>
      </c>
      <c r="D752" t="s">
        <v>30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777</v>
      </c>
      <c r="B753" s="2">
        <v>45662</v>
      </c>
      <c r="C753" t="s">
        <v>716</v>
      </c>
      <c r="D753" t="s">
        <v>30</v>
      </c>
      <c r="E753" t="s">
        <v>24</v>
      </c>
      <c r="F753" t="s">
        <v>34</v>
      </c>
      <c r="G753" t="s">
        <v>29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778</v>
      </c>
      <c r="B754" s="2">
        <v>45735</v>
      </c>
      <c r="C754" t="s">
        <v>716</v>
      </c>
      <c r="D754" t="s">
        <v>27</v>
      </c>
      <c r="E754" t="s">
        <v>32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779</v>
      </c>
      <c r="B755" s="2">
        <v>45771</v>
      </c>
      <c r="C755" t="s">
        <v>716</v>
      </c>
      <c r="D755" t="s">
        <v>27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780</v>
      </c>
      <c r="B756" s="2">
        <v>45726</v>
      </c>
      <c r="C756" t="s">
        <v>716</v>
      </c>
      <c r="D756" t="s">
        <v>18</v>
      </c>
      <c r="E756" t="s">
        <v>32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781</v>
      </c>
      <c r="B757" s="2">
        <v>45710</v>
      </c>
      <c r="C757" t="s">
        <v>716</v>
      </c>
      <c r="D757" t="s">
        <v>30</v>
      </c>
      <c r="E757" t="s">
        <v>32</v>
      </c>
      <c r="F757" t="s">
        <v>34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782</v>
      </c>
      <c r="B758" s="2">
        <v>45794</v>
      </c>
      <c r="C758" t="s">
        <v>716</v>
      </c>
      <c r="D758" t="s">
        <v>27</v>
      </c>
      <c r="E758" t="s">
        <v>24</v>
      </c>
      <c r="F758" t="s">
        <v>35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783</v>
      </c>
      <c r="B759" s="2">
        <v>45786</v>
      </c>
      <c r="C759" t="s">
        <v>716</v>
      </c>
      <c r="D759" t="s">
        <v>27</v>
      </c>
      <c r="E759" t="s">
        <v>32</v>
      </c>
      <c r="F759" t="s">
        <v>34</v>
      </c>
      <c r="G759" t="s">
        <v>29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784</v>
      </c>
      <c r="B760" s="2">
        <v>45773</v>
      </c>
      <c r="C760" t="s">
        <v>716</v>
      </c>
      <c r="D760" t="s">
        <v>27</v>
      </c>
      <c r="E760" t="s">
        <v>32</v>
      </c>
      <c r="F760" t="s">
        <v>25</v>
      </c>
      <c r="G760" t="s">
        <v>29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785</v>
      </c>
      <c r="B761" s="2">
        <v>45731</v>
      </c>
      <c r="C761" t="s">
        <v>716</v>
      </c>
      <c r="D761" t="s">
        <v>23</v>
      </c>
      <c r="E761" t="s">
        <v>19</v>
      </c>
      <c r="F761" t="s">
        <v>35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786</v>
      </c>
      <c r="B762" s="2">
        <v>45750</v>
      </c>
      <c r="C762" t="s">
        <v>716</v>
      </c>
      <c r="D762" t="s">
        <v>18</v>
      </c>
      <c r="E762" t="s">
        <v>24</v>
      </c>
      <c r="F762" t="s">
        <v>28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787</v>
      </c>
      <c r="B763" s="2">
        <v>45742</v>
      </c>
      <c r="C763" t="s">
        <v>716</v>
      </c>
      <c r="D763" t="s">
        <v>30</v>
      </c>
      <c r="E763" t="s">
        <v>24</v>
      </c>
      <c r="F763" t="s">
        <v>28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788</v>
      </c>
      <c r="B764" s="2">
        <v>45693</v>
      </c>
      <c r="C764" t="s">
        <v>716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789</v>
      </c>
      <c r="B765" s="2">
        <v>45785</v>
      </c>
      <c r="C765" t="s">
        <v>716</v>
      </c>
      <c r="D765" t="s">
        <v>30</v>
      </c>
      <c r="E765" t="s">
        <v>24</v>
      </c>
      <c r="F765" t="s">
        <v>35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790</v>
      </c>
      <c r="B766" s="2">
        <v>45741</v>
      </c>
      <c r="C766" t="s">
        <v>716</v>
      </c>
      <c r="D766" t="s">
        <v>30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791</v>
      </c>
      <c r="B767" s="2">
        <v>45671</v>
      </c>
      <c r="C767" t="s">
        <v>716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792</v>
      </c>
      <c r="B768" s="2">
        <v>45742</v>
      </c>
      <c r="C768" t="s">
        <v>716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793</v>
      </c>
      <c r="B769" s="2">
        <v>45673</v>
      </c>
      <c r="C769" t="s">
        <v>716</v>
      </c>
      <c r="D769" t="s">
        <v>27</v>
      </c>
      <c r="E769" t="s">
        <v>24</v>
      </c>
      <c r="F769" t="s">
        <v>34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794</v>
      </c>
      <c r="B770" s="2">
        <v>45661</v>
      </c>
      <c r="C770" t="s">
        <v>716</v>
      </c>
      <c r="D770" t="s">
        <v>27</v>
      </c>
      <c r="E770" t="s">
        <v>24</v>
      </c>
      <c r="F770" t="s">
        <v>35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795</v>
      </c>
      <c r="B771" s="2">
        <v>45697</v>
      </c>
      <c r="C771" t="s">
        <v>716</v>
      </c>
      <c r="D771" t="s">
        <v>30</v>
      </c>
      <c r="E771" t="s">
        <v>19</v>
      </c>
      <c r="F771" t="s">
        <v>25</v>
      </c>
      <c r="G771" t="s">
        <v>29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796</v>
      </c>
      <c r="B772" s="2">
        <v>45721</v>
      </c>
      <c r="C772" t="s">
        <v>716</v>
      </c>
      <c r="D772" t="s">
        <v>27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797</v>
      </c>
      <c r="B773" s="2">
        <v>45726</v>
      </c>
      <c r="C773" t="s">
        <v>716</v>
      </c>
      <c r="D773" t="s">
        <v>27</v>
      </c>
      <c r="E773" t="s">
        <v>24</v>
      </c>
      <c r="F773" t="s">
        <v>34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798</v>
      </c>
      <c r="B774" s="2">
        <v>45715</v>
      </c>
      <c r="C774" t="s">
        <v>716</v>
      </c>
      <c r="D774" t="s">
        <v>27</v>
      </c>
      <c r="E774" t="s">
        <v>19</v>
      </c>
      <c r="F774" t="s">
        <v>28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799</v>
      </c>
      <c r="B775" s="2">
        <v>45726</v>
      </c>
      <c r="C775" t="s">
        <v>716</v>
      </c>
      <c r="D775" t="s">
        <v>18</v>
      </c>
      <c r="E775" t="s">
        <v>19</v>
      </c>
      <c r="F775" t="s">
        <v>34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800</v>
      </c>
      <c r="B776" s="2">
        <v>45770</v>
      </c>
      <c r="C776" t="s">
        <v>716</v>
      </c>
      <c r="D776" t="s">
        <v>23</v>
      </c>
      <c r="E776" t="s">
        <v>24</v>
      </c>
      <c r="F776" t="s">
        <v>35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801</v>
      </c>
      <c r="B777" s="2">
        <v>45759</v>
      </c>
      <c r="C777" t="s">
        <v>716</v>
      </c>
      <c r="D777" t="s">
        <v>18</v>
      </c>
      <c r="E777" t="s">
        <v>19</v>
      </c>
      <c r="F777" t="s">
        <v>28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802</v>
      </c>
      <c r="B778" s="2">
        <v>45683</v>
      </c>
      <c r="C778" t="s">
        <v>716</v>
      </c>
      <c r="D778" t="s">
        <v>27</v>
      </c>
      <c r="E778" t="s">
        <v>19</v>
      </c>
      <c r="F778" t="s">
        <v>34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803</v>
      </c>
      <c r="B779" s="2">
        <v>45801</v>
      </c>
      <c r="C779" t="s">
        <v>716</v>
      </c>
      <c r="D779" t="s">
        <v>23</v>
      </c>
      <c r="E779" t="s">
        <v>32</v>
      </c>
      <c r="F779" t="s">
        <v>28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804</v>
      </c>
      <c r="B780" s="2">
        <v>45665</v>
      </c>
      <c r="C780" t="s">
        <v>716</v>
      </c>
      <c r="D780" t="s">
        <v>30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805</v>
      </c>
      <c r="B781" s="2">
        <v>45762</v>
      </c>
      <c r="C781" t="s">
        <v>716</v>
      </c>
      <c r="D781" t="s">
        <v>18</v>
      </c>
      <c r="E781" t="s">
        <v>24</v>
      </c>
      <c r="F781" t="s">
        <v>34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806</v>
      </c>
      <c r="B782" s="2">
        <v>45672</v>
      </c>
      <c r="C782" t="s">
        <v>716</v>
      </c>
      <c r="D782" t="s">
        <v>30</v>
      </c>
      <c r="E782" t="s">
        <v>19</v>
      </c>
      <c r="F782" t="s">
        <v>28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807</v>
      </c>
      <c r="B783" s="2">
        <v>45716</v>
      </c>
      <c r="C783" t="s">
        <v>716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808</v>
      </c>
      <c r="B784" s="2">
        <v>45658</v>
      </c>
      <c r="C784" t="s">
        <v>716</v>
      </c>
      <c r="D784" t="s">
        <v>18</v>
      </c>
      <c r="E784" t="s">
        <v>32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809</v>
      </c>
      <c r="B785" s="2">
        <v>45764</v>
      </c>
      <c r="C785" t="s">
        <v>716</v>
      </c>
      <c r="D785" t="s">
        <v>23</v>
      </c>
      <c r="E785" t="s">
        <v>24</v>
      </c>
      <c r="F785" t="s">
        <v>34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810</v>
      </c>
      <c r="B786" s="2">
        <v>45707</v>
      </c>
      <c r="C786" t="s">
        <v>716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811</v>
      </c>
      <c r="B787" s="2">
        <v>45730</v>
      </c>
      <c r="C787" t="s">
        <v>716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812</v>
      </c>
      <c r="B788" s="2">
        <v>45768</v>
      </c>
      <c r="C788" t="s">
        <v>716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813</v>
      </c>
      <c r="B789" s="2">
        <v>45702</v>
      </c>
      <c r="C789" t="s">
        <v>716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814</v>
      </c>
      <c r="B790" s="2">
        <v>45807</v>
      </c>
      <c r="C790" t="s">
        <v>716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815</v>
      </c>
      <c r="B791" s="2">
        <v>45677</v>
      </c>
      <c r="C791" t="s">
        <v>716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816</v>
      </c>
      <c r="B792" s="2">
        <v>45733</v>
      </c>
      <c r="C792" t="s">
        <v>716</v>
      </c>
      <c r="D792" t="s">
        <v>23</v>
      </c>
      <c r="E792" t="s">
        <v>24</v>
      </c>
      <c r="F792" t="s">
        <v>35</v>
      </c>
      <c r="G792" t="s">
        <v>29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817</v>
      </c>
      <c r="B793" s="2">
        <v>45720</v>
      </c>
      <c r="C793" t="s">
        <v>716</v>
      </c>
      <c r="D793" t="s">
        <v>23</v>
      </c>
      <c r="E793" t="s">
        <v>24</v>
      </c>
      <c r="F793" t="s">
        <v>35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818</v>
      </c>
      <c r="B794" s="2">
        <v>45710</v>
      </c>
      <c r="C794" t="s">
        <v>716</v>
      </c>
      <c r="D794" t="s">
        <v>30</v>
      </c>
      <c r="E794" t="s">
        <v>24</v>
      </c>
      <c r="F794" t="s">
        <v>25</v>
      </c>
      <c r="G794" t="s">
        <v>29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819</v>
      </c>
      <c r="B795" s="2">
        <v>45779</v>
      </c>
      <c r="C795" t="s">
        <v>716</v>
      </c>
      <c r="D795" t="s">
        <v>18</v>
      </c>
      <c r="E795" t="s">
        <v>24</v>
      </c>
      <c r="F795" t="s">
        <v>28</v>
      </c>
      <c r="G795" t="s">
        <v>29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820</v>
      </c>
      <c r="B796" s="2">
        <v>45729</v>
      </c>
      <c r="C796" t="s">
        <v>716</v>
      </c>
      <c r="D796" t="s">
        <v>23</v>
      </c>
      <c r="E796" t="s">
        <v>19</v>
      </c>
      <c r="F796" t="s">
        <v>25</v>
      </c>
      <c r="G796" t="s">
        <v>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821</v>
      </c>
      <c r="B797" s="2">
        <v>45808</v>
      </c>
      <c r="C797" t="s">
        <v>716</v>
      </c>
      <c r="D797" t="s">
        <v>30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822</v>
      </c>
      <c r="B798" s="2">
        <v>45723</v>
      </c>
      <c r="C798" t="s">
        <v>716</v>
      </c>
      <c r="D798" t="s">
        <v>23</v>
      </c>
      <c r="E798" t="s">
        <v>19</v>
      </c>
      <c r="F798" t="s">
        <v>35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823</v>
      </c>
      <c r="B799" s="2">
        <v>45710</v>
      </c>
      <c r="C799" t="s">
        <v>716</v>
      </c>
      <c r="D799" t="s">
        <v>23</v>
      </c>
      <c r="E799" t="s">
        <v>24</v>
      </c>
      <c r="F799" t="s">
        <v>28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824</v>
      </c>
      <c r="B800" s="2">
        <v>45662</v>
      </c>
      <c r="C800" t="s">
        <v>716</v>
      </c>
      <c r="D800" t="s">
        <v>23</v>
      </c>
      <c r="E800" t="s">
        <v>19</v>
      </c>
      <c r="F800" t="s">
        <v>28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825</v>
      </c>
      <c r="B801" s="2">
        <v>45678</v>
      </c>
      <c r="C801" t="s">
        <v>716</v>
      </c>
      <c r="D801" t="s">
        <v>23</v>
      </c>
      <c r="E801" t="s">
        <v>24</v>
      </c>
      <c r="F801" t="s">
        <v>34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826</v>
      </c>
      <c r="B802" s="2">
        <v>45682</v>
      </c>
      <c r="C802" t="s">
        <v>716</v>
      </c>
      <c r="D802" t="s">
        <v>18</v>
      </c>
      <c r="E802" t="s">
        <v>19</v>
      </c>
      <c r="F802" t="s">
        <v>35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827</v>
      </c>
      <c r="B803" s="2">
        <v>45751</v>
      </c>
      <c r="C803" t="s">
        <v>716</v>
      </c>
      <c r="D803" t="s">
        <v>23</v>
      </c>
      <c r="E803" t="s">
        <v>24</v>
      </c>
      <c r="F803" t="s">
        <v>28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828</v>
      </c>
      <c r="B804" s="2">
        <v>45741</v>
      </c>
      <c r="C804" t="s">
        <v>716</v>
      </c>
      <c r="D804" t="s">
        <v>18</v>
      </c>
      <c r="E804" t="s">
        <v>19</v>
      </c>
      <c r="F804" t="s">
        <v>35</v>
      </c>
      <c r="G804" t="s">
        <v>29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829</v>
      </c>
      <c r="B805" s="2">
        <v>45735</v>
      </c>
      <c r="C805" t="s">
        <v>716</v>
      </c>
      <c r="D805" t="s">
        <v>23</v>
      </c>
      <c r="E805" t="s">
        <v>24</v>
      </c>
      <c r="F805" t="s">
        <v>35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830</v>
      </c>
      <c r="B806" s="2">
        <v>45771</v>
      </c>
      <c r="C806" t="s">
        <v>716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831</v>
      </c>
      <c r="B807" s="2">
        <v>45751</v>
      </c>
      <c r="C807" t="s">
        <v>716</v>
      </c>
      <c r="D807" t="s">
        <v>30</v>
      </c>
      <c r="E807" t="s">
        <v>32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832</v>
      </c>
      <c r="B808" s="2">
        <v>45744</v>
      </c>
      <c r="C808" t="s">
        <v>716</v>
      </c>
      <c r="D808" t="s">
        <v>30</v>
      </c>
      <c r="E808" t="s">
        <v>19</v>
      </c>
      <c r="F808" t="s">
        <v>28</v>
      </c>
      <c r="G808" t="s">
        <v>29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833</v>
      </c>
      <c r="B809" s="2">
        <v>45792</v>
      </c>
      <c r="C809" t="s">
        <v>716</v>
      </c>
      <c r="D809" t="s">
        <v>30</v>
      </c>
      <c r="E809" t="s">
        <v>32</v>
      </c>
      <c r="F809" t="s">
        <v>28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834</v>
      </c>
      <c r="B810" s="2">
        <v>45729</v>
      </c>
      <c r="C810" t="s">
        <v>716</v>
      </c>
      <c r="D810" t="s">
        <v>23</v>
      </c>
      <c r="E810" t="s">
        <v>24</v>
      </c>
      <c r="F810" t="s">
        <v>28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835</v>
      </c>
      <c r="B811" s="2">
        <v>45742</v>
      </c>
      <c r="C811" t="s">
        <v>716</v>
      </c>
      <c r="D811" t="s">
        <v>18</v>
      </c>
      <c r="E811" t="s">
        <v>24</v>
      </c>
      <c r="F811" t="s">
        <v>35</v>
      </c>
      <c r="G811" t="s">
        <v>29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836</v>
      </c>
      <c r="B812" s="2">
        <v>45666</v>
      </c>
      <c r="C812" t="s">
        <v>716</v>
      </c>
      <c r="D812" t="s">
        <v>18</v>
      </c>
      <c r="E812" t="s">
        <v>24</v>
      </c>
      <c r="F812" t="s">
        <v>35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837</v>
      </c>
      <c r="B813" s="2">
        <v>45783</v>
      </c>
      <c r="C813" t="s">
        <v>716</v>
      </c>
      <c r="D813" t="s">
        <v>30</v>
      </c>
      <c r="E813" t="s">
        <v>19</v>
      </c>
      <c r="F813" t="s">
        <v>28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838</v>
      </c>
      <c r="B814" s="2">
        <v>45705</v>
      </c>
      <c r="C814" t="s">
        <v>716</v>
      </c>
      <c r="D814" t="s">
        <v>30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839</v>
      </c>
      <c r="B815" s="2">
        <v>45752</v>
      </c>
      <c r="C815" t="s">
        <v>716</v>
      </c>
      <c r="D815" t="s">
        <v>27</v>
      </c>
      <c r="E815" t="s">
        <v>24</v>
      </c>
      <c r="F815" t="s">
        <v>28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840</v>
      </c>
      <c r="B816" s="2">
        <v>45760</v>
      </c>
      <c r="C816" t="s">
        <v>716</v>
      </c>
      <c r="D816" t="s">
        <v>23</v>
      </c>
      <c r="E816" t="s">
        <v>32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841</v>
      </c>
      <c r="B817" s="2">
        <v>45797</v>
      </c>
      <c r="C817" t="s">
        <v>716</v>
      </c>
      <c r="D817" t="s">
        <v>27</v>
      </c>
      <c r="E817" t="s">
        <v>19</v>
      </c>
      <c r="F817" t="s">
        <v>34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842</v>
      </c>
      <c r="B818" s="2">
        <v>45747</v>
      </c>
      <c r="C818" t="s">
        <v>716</v>
      </c>
      <c r="D818" t="s">
        <v>27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843</v>
      </c>
      <c r="B819" s="2">
        <v>45750</v>
      </c>
      <c r="C819" t="s">
        <v>716</v>
      </c>
      <c r="D819" t="s">
        <v>23</v>
      </c>
      <c r="E819" t="s">
        <v>32</v>
      </c>
      <c r="F819" t="s">
        <v>28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844</v>
      </c>
      <c r="B820" s="2">
        <v>45692</v>
      </c>
      <c r="C820" t="s">
        <v>716</v>
      </c>
      <c r="D820" t="s">
        <v>30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845</v>
      </c>
      <c r="B821" s="2">
        <v>45796</v>
      </c>
      <c r="C821" t="s">
        <v>716</v>
      </c>
      <c r="D821" t="s">
        <v>27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846</v>
      </c>
      <c r="B822" s="2">
        <v>45724</v>
      </c>
      <c r="C822" t="s">
        <v>716</v>
      </c>
      <c r="D822" t="s">
        <v>27</v>
      </c>
      <c r="E822" t="s">
        <v>19</v>
      </c>
      <c r="F822" t="s">
        <v>28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847</v>
      </c>
      <c r="B823" s="2">
        <v>45787</v>
      </c>
      <c r="C823" t="s">
        <v>716</v>
      </c>
      <c r="D823" t="s">
        <v>18</v>
      </c>
      <c r="E823" t="s">
        <v>24</v>
      </c>
      <c r="F823" t="s">
        <v>35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848</v>
      </c>
      <c r="B824" s="2">
        <v>45659</v>
      </c>
      <c r="C824" t="s">
        <v>716</v>
      </c>
      <c r="D824" t="s">
        <v>27</v>
      </c>
      <c r="E824" t="s">
        <v>19</v>
      </c>
      <c r="F824" t="s">
        <v>35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849</v>
      </c>
      <c r="B825" s="2">
        <v>45674</v>
      </c>
      <c r="C825" t="s">
        <v>716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850</v>
      </c>
      <c r="B826" s="2">
        <v>45798</v>
      </c>
      <c r="C826" t="s">
        <v>716</v>
      </c>
      <c r="D826" t="s">
        <v>23</v>
      </c>
      <c r="E826" t="s">
        <v>24</v>
      </c>
      <c r="F826" t="s">
        <v>34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851</v>
      </c>
      <c r="B827" s="2">
        <v>45802</v>
      </c>
      <c r="C827" t="s">
        <v>716</v>
      </c>
      <c r="D827" t="s">
        <v>27</v>
      </c>
      <c r="E827" t="s">
        <v>19</v>
      </c>
      <c r="F827" t="s">
        <v>34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852</v>
      </c>
      <c r="B828" s="2">
        <v>45662</v>
      </c>
      <c r="C828" t="s">
        <v>716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853</v>
      </c>
      <c r="B829" s="2">
        <v>45712</v>
      </c>
      <c r="C829" t="s">
        <v>716</v>
      </c>
      <c r="D829" t="s">
        <v>30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854</v>
      </c>
      <c r="B830" s="2">
        <v>45678</v>
      </c>
      <c r="C830" t="s">
        <v>716</v>
      </c>
      <c r="D830" t="s">
        <v>27</v>
      </c>
      <c r="E830" t="s">
        <v>24</v>
      </c>
      <c r="F830" t="s">
        <v>28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855</v>
      </c>
      <c r="B831" s="2">
        <v>45771</v>
      </c>
      <c r="C831" t="s">
        <v>716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856</v>
      </c>
      <c r="B832" s="2">
        <v>45664</v>
      </c>
      <c r="C832" t="s">
        <v>716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857</v>
      </c>
      <c r="B833" s="2">
        <v>45808</v>
      </c>
      <c r="C833" t="s">
        <v>716</v>
      </c>
      <c r="D833" t="s">
        <v>30</v>
      </c>
      <c r="E833" t="s">
        <v>32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858</v>
      </c>
      <c r="B834" s="2">
        <v>45749</v>
      </c>
      <c r="C834" t="s">
        <v>716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859</v>
      </c>
      <c r="B835" s="2">
        <v>45768</v>
      </c>
      <c r="C835" t="s">
        <v>716</v>
      </c>
      <c r="D835" t="s">
        <v>27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860</v>
      </c>
      <c r="B836" s="2">
        <v>45782</v>
      </c>
      <c r="C836" t="s">
        <v>716</v>
      </c>
      <c r="D836" t="s">
        <v>27</v>
      </c>
      <c r="E836" t="s">
        <v>24</v>
      </c>
      <c r="F836" t="s">
        <v>28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861</v>
      </c>
      <c r="B837" s="2">
        <v>45663</v>
      </c>
      <c r="C837" t="s">
        <v>716</v>
      </c>
      <c r="D837" t="s">
        <v>18</v>
      </c>
      <c r="E837" t="s">
        <v>19</v>
      </c>
      <c r="F837" t="s">
        <v>35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862</v>
      </c>
      <c r="B838" s="2">
        <v>45771</v>
      </c>
      <c r="C838" t="s">
        <v>716</v>
      </c>
      <c r="D838" t="s">
        <v>30</v>
      </c>
      <c r="E838" t="s">
        <v>24</v>
      </c>
      <c r="F838" t="s">
        <v>34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863</v>
      </c>
      <c r="B839" s="2">
        <v>45768</v>
      </c>
      <c r="C839" t="s">
        <v>716</v>
      </c>
      <c r="D839" t="s">
        <v>30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864</v>
      </c>
      <c r="B840" s="2">
        <v>45697</v>
      </c>
      <c r="C840" t="s">
        <v>716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865</v>
      </c>
      <c r="B841" s="2">
        <v>45666</v>
      </c>
      <c r="C841" t="s">
        <v>716</v>
      </c>
      <c r="D841" t="s">
        <v>27</v>
      </c>
      <c r="E841" t="s">
        <v>24</v>
      </c>
      <c r="F841" t="s">
        <v>25</v>
      </c>
      <c r="G841" t="s">
        <v>29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866</v>
      </c>
      <c r="B842" s="2">
        <v>45704</v>
      </c>
      <c r="C842" t="s">
        <v>716</v>
      </c>
      <c r="D842" t="s">
        <v>18</v>
      </c>
      <c r="E842" t="s">
        <v>24</v>
      </c>
      <c r="F842" t="s">
        <v>28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867</v>
      </c>
      <c r="B843" s="2">
        <v>45709</v>
      </c>
      <c r="C843" t="s">
        <v>716</v>
      </c>
      <c r="D843" t="s">
        <v>30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868</v>
      </c>
      <c r="B844" s="2">
        <v>45696</v>
      </c>
      <c r="C844" t="s">
        <v>716</v>
      </c>
      <c r="D844" t="s">
        <v>30</v>
      </c>
      <c r="E844" t="s">
        <v>24</v>
      </c>
      <c r="F844" t="s">
        <v>25</v>
      </c>
      <c r="G844" t="s">
        <v>29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869</v>
      </c>
      <c r="B845" s="2">
        <v>45679</v>
      </c>
      <c r="C845" t="s">
        <v>716</v>
      </c>
      <c r="D845" t="s">
        <v>30</v>
      </c>
      <c r="E845" t="s">
        <v>24</v>
      </c>
      <c r="F845" t="s">
        <v>28</v>
      </c>
      <c r="G845" t="s">
        <v>29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870</v>
      </c>
      <c r="B846" s="2">
        <v>45748</v>
      </c>
      <c r="C846" t="s">
        <v>716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871</v>
      </c>
      <c r="B847" s="2">
        <v>45678</v>
      </c>
      <c r="C847" t="s">
        <v>716</v>
      </c>
      <c r="D847" t="s">
        <v>18</v>
      </c>
      <c r="E847" t="s">
        <v>24</v>
      </c>
      <c r="F847" t="s">
        <v>28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872</v>
      </c>
      <c r="B848" s="2">
        <v>45659</v>
      </c>
      <c r="C848" t="s">
        <v>716</v>
      </c>
      <c r="D848" t="s">
        <v>27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873</v>
      </c>
      <c r="B849" s="2">
        <v>45789</v>
      </c>
      <c r="C849" t="s">
        <v>716</v>
      </c>
      <c r="D849" t="s">
        <v>30</v>
      </c>
      <c r="E849" t="s">
        <v>19</v>
      </c>
      <c r="F849" t="s">
        <v>28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874</v>
      </c>
      <c r="B850" s="2">
        <v>45721</v>
      </c>
      <c r="C850" t="s">
        <v>716</v>
      </c>
      <c r="D850" t="s">
        <v>30</v>
      </c>
      <c r="E850" t="s">
        <v>24</v>
      </c>
      <c r="F850" t="s">
        <v>35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875</v>
      </c>
      <c r="B851" s="2">
        <v>45681</v>
      </c>
      <c r="C851" t="s">
        <v>716</v>
      </c>
      <c r="D851" t="s">
        <v>27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876</v>
      </c>
      <c r="B852" s="2">
        <v>45688</v>
      </c>
      <c r="C852" t="s">
        <v>716</v>
      </c>
      <c r="D852" t="s">
        <v>27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877</v>
      </c>
      <c r="B853" s="2">
        <v>45681</v>
      </c>
      <c r="C853" t="s">
        <v>716</v>
      </c>
      <c r="D853" t="s">
        <v>18</v>
      </c>
      <c r="E853" t="s">
        <v>32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878</v>
      </c>
      <c r="B854" s="2">
        <v>45702</v>
      </c>
      <c r="C854" t="s">
        <v>716</v>
      </c>
      <c r="D854" t="s">
        <v>18</v>
      </c>
      <c r="E854" t="s">
        <v>19</v>
      </c>
      <c r="F854" t="s">
        <v>34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879</v>
      </c>
      <c r="B855" s="2">
        <v>45804</v>
      </c>
      <c r="C855" t="s">
        <v>716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880</v>
      </c>
      <c r="B856" s="2">
        <v>45716</v>
      </c>
      <c r="C856" t="s">
        <v>716</v>
      </c>
      <c r="D856" t="s">
        <v>18</v>
      </c>
      <c r="E856" t="s">
        <v>24</v>
      </c>
      <c r="F856" t="s">
        <v>28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881</v>
      </c>
      <c r="B857" s="2">
        <v>45804</v>
      </c>
      <c r="C857" t="s">
        <v>716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882</v>
      </c>
      <c r="B858" s="2">
        <v>45794</v>
      </c>
      <c r="C858" t="s">
        <v>716</v>
      </c>
      <c r="D858" t="s">
        <v>30</v>
      </c>
      <c r="E858" t="s">
        <v>24</v>
      </c>
      <c r="F858" t="s">
        <v>28</v>
      </c>
      <c r="G858" t="s">
        <v>29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883</v>
      </c>
      <c r="B859" s="2">
        <v>45667</v>
      </c>
      <c r="C859" t="s">
        <v>716</v>
      </c>
      <c r="D859" t="s">
        <v>23</v>
      </c>
      <c r="E859" t="s">
        <v>19</v>
      </c>
      <c r="F859" t="s">
        <v>35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884</v>
      </c>
      <c r="B860" s="2">
        <v>45769</v>
      </c>
      <c r="C860" t="s">
        <v>716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885</v>
      </c>
      <c r="B861" s="2">
        <v>45718</v>
      </c>
      <c r="C861" t="s">
        <v>716</v>
      </c>
      <c r="D861" t="s">
        <v>30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886</v>
      </c>
      <c r="B862" s="2">
        <v>45739</v>
      </c>
      <c r="C862" t="s">
        <v>716</v>
      </c>
      <c r="D862" t="s">
        <v>27</v>
      </c>
      <c r="E862" t="s">
        <v>24</v>
      </c>
      <c r="F862" t="s">
        <v>28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887</v>
      </c>
      <c r="B863" s="2">
        <v>45700</v>
      </c>
      <c r="C863" t="s">
        <v>716</v>
      </c>
      <c r="D863" t="s">
        <v>27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888</v>
      </c>
      <c r="B864" s="2">
        <v>45780</v>
      </c>
      <c r="C864" t="s">
        <v>716</v>
      </c>
      <c r="D864" t="s">
        <v>30</v>
      </c>
      <c r="E864" t="s">
        <v>24</v>
      </c>
      <c r="F864" t="s">
        <v>34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889</v>
      </c>
      <c r="B865" s="2">
        <v>45744</v>
      </c>
      <c r="C865" t="s">
        <v>716</v>
      </c>
      <c r="D865" t="s">
        <v>18</v>
      </c>
      <c r="E865" t="s">
        <v>19</v>
      </c>
      <c r="F865" t="s">
        <v>35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890</v>
      </c>
      <c r="B866" s="2">
        <v>45728</v>
      </c>
      <c r="C866" t="s">
        <v>716</v>
      </c>
      <c r="D866" t="s">
        <v>18</v>
      </c>
      <c r="E866" t="s">
        <v>24</v>
      </c>
      <c r="F866" t="s">
        <v>35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891</v>
      </c>
      <c r="B867" s="2">
        <v>45774</v>
      </c>
      <c r="C867" t="s">
        <v>716</v>
      </c>
      <c r="D867" t="s">
        <v>27</v>
      </c>
      <c r="E867" t="s">
        <v>24</v>
      </c>
      <c r="F867" t="s">
        <v>28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892</v>
      </c>
      <c r="B868" s="2">
        <v>45749</v>
      </c>
      <c r="C868" t="s">
        <v>716</v>
      </c>
      <c r="D868" t="s">
        <v>30</v>
      </c>
      <c r="E868" t="s">
        <v>24</v>
      </c>
      <c r="F868" t="s">
        <v>34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893</v>
      </c>
      <c r="B869" s="2">
        <v>45768</v>
      </c>
      <c r="C869" t="s">
        <v>716</v>
      </c>
      <c r="D869" t="s">
        <v>18</v>
      </c>
      <c r="E869" t="s">
        <v>24</v>
      </c>
      <c r="F869" t="s">
        <v>35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894</v>
      </c>
      <c r="B870" s="2">
        <v>45683</v>
      </c>
      <c r="C870" t="s">
        <v>716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895</v>
      </c>
      <c r="B871" s="2">
        <v>45663</v>
      </c>
      <c r="C871" t="s">
        <v>716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896</v>
      </c>
      <c r="B872" s="2">
        <v>45695</v>
      </c>
      <c r="C872" t="s">
        <v>716</v>
      </c>
      <c r="D872" t="s">
        <v>27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897</v>
      </c>
      <c r="B873" s="2">
        <v>45784</v>
      </c>
      <c r="C873" t="s">
        <v>716</v>
      </c>
      <c r="D873" t="s">
        <v>23</v>
      </c>
      <c r="E873" t="s">
        <v>24</v>
      </c>
      <c r="F873" t="s">
        <v>25</v>
      </c>
      <c r="G873" t="s">
        <v>29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898</v>
      </c>
      <c r="B874" s="2">
        <v>45769</v>
      </c>
      <c r="C874" t="s">
        <v>716</v>
      </c>
      <c r="D874" t="s">
        <v>23</v>
      </c>
      <c r="F874" t="s">
        <v>35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899</v>
      </c>
      <c r="B875" s="2">
        <v>45781</v>
      </c>
      <c r="C875" t="s">
        <v>716</v>
      </c>
      <c r="D875" t="s">
        <v>23</v>
      </c>
      <c r="E875" t="s">
        <v>19</v>
      </c>
      <c r="F875" t="s">
        <v>35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900</v>
      </c>
      <c r="B876" s="2">
        <v>45793</v>
      </c>
      <c r="C876" t="s">
        <v>716</v>
      </c>
      <c r="D876" t="s">
        <v>30</v>
      </c>
      <c r="E876" t="s">
        <v>24</v>
      </c>
      <c r="F876" t="s">
        <v>35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901</v>
      </c>
      <c r="B877" s="2">
        <v>45699</v>
      </c>
      <c r="C877" t="s">
        <v>716</v>
      </c>
      <c r="D877" t="s">
        <v>23</v>
      </c>
      <c r="E877" t="s">
        <v>24</v>
      </c>
      <c r="F877" t="s">
        <v>28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902</v>
      </c>
      <c r="B878" s="2">
        <v>45786</v>
      </c>
      <c r="C878" t="s">
        <v>716</v>
      </c>
      <c r="D878" t="s">
        <v>27</v>
      </c>
      <c r="E878" t="s">
        <v>19</v>
      </c>
      <c r="F878" t="s">
        <v>25</v>
      </c>
      <c r="G878" t="s">
        <v>29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903</v>
      </c>
      <c r="B879" s="2">
        <v>45697</v>
      </c>
      <c r="C879" t="s">
        <v>716</v>
      </c>
      <c r="D879" t="s">
        <v>30</v>
      </c>
      <c r="E879" t="s">
        <v>19</v>
      </c>
      <c r="F879" t="s">
        <v>28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904</v>
      </c>
      <c r="B880" s="2">
        <v>45799</v>
      </c>
      <c r="C880" t="s">
        <v>716</v>
      </c>
      <c r="D880" t="s">
        <v>23</v>
      </c>
      <c r="E880" t="s">
        <v>24</v>
      </c>
      <c r="F880" t="s">
        <v>35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905</v>
      </c>
      <c r="B881" s="2">
        <v>45801</v>
      </c>
      <c r="C881" t="s">
        <v>716</v>
      </c>
      <c r="D881" t="s">
        <v>27</v>
      </c>
      <c r="E881" t="s">
        <v>24</v>
      </c>
      <c r="F881" t="s">
        <v>35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906</v>
      </c>
      <c r="B882" s="2">
        <v>45774</v>
      </c>
      <c r="C882" t="s">
        <v>716</v>
      </c>
      <c r="D882" t="s">
        <v>30</v>
      </c>
      <c r="E882" t="s">
        <v>19</v>
      </c>
      <c r="F882" t="s">
        <v>35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907</v>
      </c>
      <c r="B883" s="2">
        <v>45735</v>
      </c>
      <c r="C883" t="s">
        <v>716</v>
      </c>
      <c r="D883" t="s">
        <v>27</v>
      </c>
      <c r="E883" t="s">
        <v>24</v>
      </c>
      <c r="F883" t="s">
        <v>28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908</v>
      </c>
      <c r="B884" s="2">
        <v>45797</v>
      </c>
      <c r="C884" t="s">
        <v>716</v>
      </c>
      <c r="D884" t="s">
        <v>30</v>
      </c>
      <c r="E884" t="s">
        <v>24</v>
      </c>
      <c r="F884" t="s">
        <v>25</v>
      </c>
      <c r="G884" t="s">
        <v>29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909</v>
      </c>
      <c r="B885" s="2">
        <v>45787</v>
      </c>
      <c r="C885" t="s">
        <v>716</v>
      </c>
      <c r="D885" t="s">
        <v>18</v>
      </c>
      <c r="E885" t="s">
        <v>24</v>
      </c>
      <c r="F885" t="s">
        <v>20</v>
      </c>
      <c r="G885" t="s">
        <v>29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910</v>
      </c>
      <c r="B886" s="2">
        <v>45745</v>
      </c>
      <c r="C886" t="s">
        <v>716</v>
      </c>
      <c r="D886" t="s">
        <v>27</v>
      </c>
      <c r="E886" t="s">
        <v>24</v>
      </c>
      <c r="F886" t="s">
        <v>35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911</v>
      </c>
      <c r="B887" s="2">
        <v>45750</v>
      </c>
      <c r="C887" t="s">
        <v>716</v>
      </c>
      <c r="D887" t="s">
        <v>23</v>
      </c>
      <c r="E887" t="s">
        <v>19</v>
      </c>
      <c r="F887" t="s">
        <v>34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912</v>
      </c>
      <c r="B888" s="2">
        <v>45807</v>
      </c>
      <c r="C888" t="s">
        <v>716</v>
      </c>
      <c r="D888" t="s">
        <v>30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913</v>
      </c>
      <c r="B889" s="2">
        <v>45753</v>
      </c>
      <c r="C889" t="s">
        <v>716</v>
      </c>
      <c r="D889" t="s">
        <v>27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914</v>
      </c>
      <c r="B890" s="2">
        <v>45730</v>
      </c>
      <c r="C890" t="s">
        <v>716</v>
      </c>
      <c r="D890" t="s">
        <v>18</v>
      </c>
      <c r="E890" t="s">
        <v>24</v>
      </c>
      <c r="F890" t="s">
        <v>34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915</v>
      </c>
      <c r="B891" s="2">
        <v>45712</v>
      </c>
      <c r="C891" t="s">
        <v>716</v>
      </c>
      <c r="D891" t="s">
        <v>30</v>
      </c>
      <c r="E891" t="s">
        <v>19</v>
      </c>
      <c r="F891" t="s">
        <v>28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916</v>
      </c>
      <c r="B892" s="2">
        <v>45720</v>
      </c>
      <c r="C892" t="s">
        <v>716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917</v>
      </c>
      <c r="B893" s="2">
        <v>45749</v>
      </c>
      <c r="C893" t="s">
        <v>716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918</v>
      </c>
      <c r="B894" s="2">
        <v>45788</v>
      </c>
      <c r="C894" t="s">
        <v>716</v>
      </c>
      <c r="D894" t="s">
        <v>18</v>
      </c>
      <c r="E894" t="s">
        <v>24</v>
      </c>
      <c r="F894" t="s">
        <v>20</v>
      </c>
      <c r="G894" t="s">
        <v>29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919</v>
      </c>
      <c r="B895" s="2">
        <v>45787</v>
      </c>
      <c r="C895" t="s">
        <v>716</v>
      </c>
      <c r="D895" t="s">
        <v>23</v>
      </c>
      <c r="E895" t="s">
        <v>32</v>
      </c>
      <c r="F895" t="s">
        <v>28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920</v>
      </c>
      <c r="B896" s="2">
        <v>45783</v>
      </c>
      <c r="C896" t="s">
        <v>716</v>
      </c>
      <c r="D896" t="s">
        <v>23</v>
      </c>
      <c r="E896" t="s">
        <v>24</v>
      </c>
      <c r="F896" t="s">
        <v>34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921</v>
      </c>
      <c r="B897" s="2">
        <v>45699</v>
      </c>
      <c r="C897" t="s">
        <v>716</v>
      </c>
      <c r="D897" t="s">
        <v>23</v>
      </c>
      <c r="E897" t="s">
        <v>19</v>
      </c>
      <c r="F897" t="s">
        <v>28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922</v>
      </c>
      <c r="B898" s="2">
        <v>45786</v>
      </c>
      <c r="C898" t="s">
        <v>716</v>
      </c>
      <c r="D898" t="s">
        <v>30</v>
      </c>
      <c r="E898" t="s">
        <v>24</v>
      </c>
      <c r="F898" t="s">
        <v>28</v>
      </c>
      <c r="G898" t="s">
        <v>29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923</v>
      </c>
      <c r="B899" s="2">
        <v>45690</v>
      </c>
      <c r="C899" t="s">
        <v>716</v>
      </c>
      <c r="D899" t="s">
        <v>30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924</v>
      </c>
      <c r="B900" s="2">
        <v>45750</v>
      </c>
      <c r="C900" t="s">
        <v>716</v>
      </c>
      <c r="D900" t="s">
        <v>30</v>
      </c>
      <c r="E900" t="s">
        <v>24</v>
      </c>
      <c r="F900" t="s">
        <v>35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925</v>
      </c>
      <c r="B901" s="2">
        <v>45703</v>
      </c>
      <c r="C901" t="s">
        <v>716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926</v>
      </c>
      <c r="B902" s="2">
        <v>45765</v>
      </c>
      <c r="C902" t="s">
        <v>716</v>
      </c>
      <c r="D902" t="s">
        <v>30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927</v>
      </c>
      <c r="B903" s="2">
        <v>45730</v>
      </c>
      <c r="C903" t="s">
        <v>716</v>
      </c>
      <c r="D903" t="s">
        <v>23</v>
      </c>
      <c r="E903" t="s">
        <v>19</v>
      </c>
      <c r="F903" t="s">
        <v>25</v>
      </c>
      <c r="G903" t="s">
        <v>29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928</v>
      </c>
      <c r="B904" s="2">
        <v>45745</v>
      </c>
      <c r="C904" t="s">
        <v>716</v>
      </c>
      <c r="D904" t="s">
        <v>30</v>
      </c>
      <c r="E904" t="s">
        <v>24</v>
      </c>
      <c r="F904" t="s">
        <v>34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929</v>
      </c>
      <c r="B905" s="2">
        <v>45701</v>
      </c>
      <c r="C905" t="s">
        <v>716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930</v>
      </c>
      <c r="B906" s="2">
        <v>45680</v>
      </c>
      <c r="C906" t="s">
        <v>716</v>
      </c>
      <c r="D906" t="s">
        <v>30</v>
      </c>
      <c r="E906" t="s">
        <v>24</v>
      </c>
      <c r="F906" t="s">
        <v>28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931</v>
      </c>
      <c r="B907" s="2">
        <v>45712</v>
      </c>
      <c r="C907" t="s">
        <v>716</v>
      </c>
      <c r="D907" t="s">
        <v>27</v>
      </c>
      <c r="E907" t="s">
        <v>24</v>
      </c>
      <c r="F907" t="s">
        <v>35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932</v>
      </c>
      <c r="B908" s="2">
        <v>45716</v>
      </c>
      <c r="C908" t="s">
        <v>716</v>
      </c>
      <c r="D908" t="s">
        <v>23</v>
      </c>
      <c r="E908" t="s">
        <v>24</v>
      </c>
      <c r="F908" t="s">
        <v>28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933</v>
      </c>
      <c r="B909" s="2">
        <v>45664</v>
      </c>
      <c r="C909" t="s">
        <v>716</v>
      </c>
      <c r="D909" t="s">
        <v>23</v>
      </c>
      <c r="E909" t="s">
        <v>32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934</v>
      </c>
      <c r="B910" s="2">
        <v>45737</v>
      </c>
      <c r="C910" t="s">
        <v>716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935</v>
      </c>
      <c r="B911" s="2">
        <v>45706</v>
      </c>
      <c r="C911" t="s">
        <v>716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936</v>
      </c>
      <c r="B912" s="2">
        <v>45662</v>
      </c>
      <c r="C912" t="s">
        <v>716</v>
      </c>
      <c r="D912" t="s">
        <v>18</v>
      </c>
      <c r="E912" t="s">
        <v>24</v>
      </c>
      <c r="F912" t="s">
        <v>28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937</v>
      </c>
      <c r="B913" s="2">
        <v>45727</v>
      </c>
      <c r="C913" t="s">
        <v>716</v>
      </c>
      <c r="D913" t="s">
        <v>27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938</v>
      </c>
      <c r="B914" s="2">
        <v>45666</v>
      </c>
      <c r="C914" t="s">
        <v>716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939</v>
      </c>
      <c r="B915" s="2">
        <v>45665</v>
      </c>
      <c r="C915" t="s">
        <v>716</v>
      </c>
      <c r="D915" t="s">
        <v>30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940</v>
      </c>
      <c r="B916" s="2">
        <v>45778</v>
      </c>
      <c r="C916" t="s">
        <v>716</v>
      </c>
      <c r="D916" t="s">
        <v>27</v>
      </c>
      <c r="E916" t="s">
        <v>19</v>
      </c>
      <c r="F916" t="s">
        <v>28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941</v>
      </c>
      <c r="B917" s="2">
        <v>45719</v>
      </c>
      <c r="C917" t="s">
        <v>716</v>
      </c>
      <c r="D917" t="s">
        <v>30</v>
      </c>
      <c r="E917" t="s">
        <v>24</v>
      </c>
      <c r="F917" t="s">
        <v>35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942</v>
      </c>
      <c r="B918" s="2">
        <v>45711</v>
      </c>
      <c r="C918" t="s">
        <v>716</v>
      </c>
      <c r="D918" t="s">
        <v>23</v>
      </c>
      <c r="E918" t="s">
        <v>19</v>
      </c>
      <c r="F918" t="s">
        <v>35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943</v>
      </c>
      <c r="B919" s="2">
        <v>45705</v>
      </c>
      <c r="C919" t="s">
        <v>716</v>
      </c>
      <c r="D919" t="s">
        <v>30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944</v>
      </c>
      <c r="B920" s="2">
        <v>45798</v>
      </c>
      <c r="C920" t="s">
        <v>716</v>
      </c>
      <c r="D920" t="s">
        <v>27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945</v>
      </c>
      <c r="B921" s="2">
        <v>45687</v>
      </c>
      <c r="C921" t="s">
        <v>716</v>
      </c>
      <c r="D921" t="s">
        <v>30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946</v>
      </c>
      <c r="B922" s="2">
        <v>45736</v>
      </c>
      <c r="C922" t="s">
        <v>716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947</v>
      </c>
      <c r="B923" s="2">
        <v>45757</v>
      </c>
      <c r="C923" t="s">
        <v>716</v>
      </c>
      <c r="D923" t="s">
        <v>23</v>
      </c>
      <c r="E923" t="s">
        <v>32</v>
      </c>
      <c r="F923" t="s">
        <v>28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948</v>
      </c>
      <c r="B924" s="2">
        <v>45723</v>
      </c>
      <c r="C924" t="s">
        <v>716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949</v>
      </c>
      <c r="B925" s="2">
        <v>45728</v>
      </c>
      <c r="C925" t="s">
        <v>716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950</v>
      </c>
      <c r="B926" s="2">
        <v>45712</v>
      </c>
      <c r="C926" t="s">
        <v>716</v>
      </c>
      <c r="D926" t="s">
        <v>27</v>
      </c>
      <c r="E926" t="s">
        <v>24</v>
      </c>
      <c r="F926" t="s">
        <v>34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951</v>
      </c>
      <c r="B927" s="2">
        <v>45672</v>
      </c>
      <c r="C927" t="s">
        <v>716</v>
      </c>
      <c r="D927" t="s">
        <v>27</v>
      </c>
      <c r="E927" t="s">
        <v>24</v>
      </c>
      <c r="F927" t="s">
        <v>34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952</v>
      </c>
      <c r="B928" s="2">
        <v>45664</v>
      </c>
      <c r="C928" t="s">
        <v>716</v>
      </c>
      <c r="D928" t="s">
        <v>18</v>
      </c>
      <c r="E928" t="s">
        <v>19</v>
      </c>
      <c r="F928" t="s">
        <v>28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953</v>
      </c>
      <c r="B929" s="2">
        <v>45718</v>
      </c>
      <c r="C929" t="s">
        <v>716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954</v>
      </c>
      <c r="B930" s="2">
        <v>45662</v>
      </c>
      <c r="C930" t="s">
        <v>716</v>
      </c>
      <c r="D930" t="s">
        <v>30</v>
      </c>
      <c r="E930" t="s">
        <v>19</v>
      </c>
      <c r="F930" t="s">
        <v>34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955</v>
      </c>
      <c r="B931" s="2">
        <v>45719</v>
      </c>
      <c r="C931" t="s">
        <v>716</v>
      </c>
      <c r="D931" t="s">
        <v>30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956</v>
      </c>
      <c r="B932" s="2">
        <v>45747</v>
      </c>
      <c r="C932" t="s">
        <v>716</v>
      </c>
      <c r="D932" t="s">
        <v>27</v>
      </c>
      <c r="E932" t="s">
        <v>19</v>
      </c>
      <c r="F932" t="s">
        <v>34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957</v>
      </c>
      <c r="B933" s="2">
        <v>45671</v>
      </c>
      <c r="C933" t="s">
        <v>716</v>
      </c>
      <c r="D933" t="s">
        <v>27</v>
      </c>
      <c r="E933" t="s">
        <v>19</v>
      </c>
      <c r="F933" t="s">
        <v>28</v>
      </c>
      <c r="G933" t="s">
        <v>29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958</v>
      </c>
      <c r="B934" s="2">
        <v>45672</v>
      </c>
      <c r="C934" t="s">
        <v>716</v>
      </c>
      <c r="D934" t="s">
        <v>23</v>
      </c>
      <c r="E934" t="s">
        <v>19</v>
      </c>
      <c r="F934" t="s">
        <v>28</v>
      </c>
      <c r="G934" t="s">
        <v>29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959</v>
      </c>
      <c r="B935" s="2">
        <v>45772</v>
      </c>
      <c r="C935" t="s">
        <v>716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960</v>
      </c>
      <c r="B936" s="2">
        <v>45737</v>
      </c>
      <c r="C936" t="s">
        <v>716</v>
      </c>
      <c r="D936" t="s">
        <v>27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961</v>
      </c>
      <c r="B937" s="2">
        <v>45773</v>
      </c>
      <c r="C937" t="s">
        <v>716</v>
      </c>
      <c r="D937" t="s">
        <v>30</v>
      </c>
      <c r="E937" t="s">
        <v>24</v>
      </c>
      <c r="F937" t="s">
        <v>28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962</v>
      </c>
      <c r="B938" s="2">
        <v>45798</v>
      </c>
      <c r="C938" t="s">
        <v>716</v>
      </c>
      <c r="D938" t="s">
        <v>30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963</v>
      </c>
      <c r="B939" s="2">
        <v>45765</v>
      </c>
      <c r="C939" t="s">
        <v>716</v>
      </c>
      <c r="D939" t="s">
        <v>27</v>
      </c>
      <c r="E939" t="s">
        <v>24</v>
      </c>
      <c r="F939" t="s">
        <v>28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964</v>
      </c>
      <c r="B940" s="2">
        <v>45686</v>
      </c>
      <c r="C940" t="s">
        <v>716</v>
      </c>
      <c r="D940" t="s">
        <v>18</v>
      </c>
      <c r="E940" t="s">
        <v>19</v>
      </c>
      <c r="F940" t="s">
        <v>20</v>
      </c>
      <c r="G940" t="s">
        <v>29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965</v>
      </c>
      <c r="B941" s="2">
        <v>45805</v>
      </c>
      <c r="C941" t="s">
        <v>716</v>
      </c>
      <c r="D941" t="s">
        <v>23</v>
      </c>
      <c r="E941" t="s">
        <v>24</v>
      </c>
      <c r="F941" t="s">
        <v>25</v>
      </c>
      <c r="G941" t="s">
        <v>29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966</v>
      </c>
      <c r="B942" s="2">
        <v>45672</v>
      </c>
      <c r="C942" t="s">
        <v>716</v>
      </c>
      <c r="D942" t="s">
        <v>27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967</v>
      </c>
      <c r="B943" s="2">
        <v>45660</v>
      </c>
      <c r="C943" t="s">
        <v>716</v>
      </c>
      <c r="D943" t="s">
        <v>30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968</v>
      </c>
      <c r="B944" s="2">
        <v>45692</v>
      </c>
      <c r="C944" t="s">
        <v>716</v>
      </c>
      <c r="D944" t="s">
        <v>30</v>
      </c>
      <c r="E944" t="s">
        <v>24</v>
      </c>
      <c r="F944" t="s">
        <v>28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969</v>
      </c>
      <c r="B945" s="2">
        <v>45710</v>
      </c>
      <c r="C945" t="s">
        <v>716</v>
      </c>
      <c r="D945" t="s">
        <v>30</v>
      </c>
      <c r="E945" t="s">
        <v>24</v>
      </c>
      <c r="F945" t="s">
        <v>34</v>
      </c>
      <c r="G945" t="s">
        <v>29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970</v>
      </c>
      <c r="B946" s="2">
        <v>45783</v>
      </c>
      <c r="C946" t="s">
        <v>716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971</v>
      </c>
      <c r="B947" s="2">
        <v>45688</v>
      </c>
      <c r="C947" t="s">
        <v>716</v>
      </c>
      <c r="D947" t="s">
        <v>30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972</v>
      </c>
      <c r="B948" s="2">
        <v>45706</v>
      </c>
      <c r="C948" t="s">
        <v>716</v>
      </c>
      <c r="D948" t="s">
        <v>18</v>
      </c>
      <c r="E948" t="s">
        <v>24</v>
      </c>
      <c r="F948" t="s">
        <v>35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973</v>
      </c>
      <c r="B949" s="2">
        <v>45770</v>
      </c>
      <c r="C949" t="s">
        <v>716</v>
      </c>
      <c r="D949" t="s">
        <v>27</v>
      </c>
      <c r="E949" t="s">
        <v>24</v>
      </c>
      <c r="F949" t="s">
        <v>28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974</v>
      </c>
      <c r="B950" s="2">
        <v>45694</v>
      </c>
      <c r="C950" t="s">
        <v>716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975</v>
      </c>
      <c r="B951" s="2">
        <v>45773</v>
      </c>
      <c r="C951" t="s">
        <v>716</v>
      </c>
      <c r="D951" t="s">
        <v>30</v>
      </c>
      <c r="E951" t="s">
        <v>19</v>
      </c>
      <c r="F951" t="s">
        <v>28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976</v>
      </c>
      <c r="B952" s="2">
        <v>45746</v>
      </c>
      <c r="C952" t="s">
        <v>716</v>
      </c>
      <c r="D952" t="s">
        <v>23</v>
      </c>
      <c r="E952" t="s">
        <v>19</v>
      </c>
      <c r="F952" t="s">
        <v>28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977</v>
      </c>
      <c r="B953" s="2">
        <v>45760</v>
      </c>
      <c r="C953" t="s">
        <v>716</v>
      </c>
      <c r="D953" t="s">
        <v>23</v>
      </c>
      <c r="E953" t="s">
        <v>24</v>
      </c>
      <c r="G953" t="s">
        <v>29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978</v>
      </c>
      <c r="B954" s="2">
        <v>45751</v>
      </c>
      <c r="C954" t="s">
        <v>716</v>
      </c>
      <c r="D954" t="s">
        <v>27</v>
      </c>
      <c r="E954" t="s">
        <v>19</v>
      </c>
      <c r="F954" t="s">
        <v>25</v>
      </c>
      <c r="G954" t="s">
        <v>29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979</v>
      </c>
      <c r="B955" s="2">
        <v>45750</v>
      </c>
      <c r="C955" t="s">
        <v>716</v>
      </c>
      <c r="D955" t="s">
        <v>18</v>
      </c>
      <c r="E955" t="s">
        <v>19</v>
      </c>
      <c r="F955" t="s">
        <v>34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980</v>
      </c>
      <c r="B956" s="2">
        <v>45730</v>
      </c>
      <c r="C956" t="s">
        <v>716</v>
      </c>
      <c r="D956" t="s">
        <v>23</v>
      </c>
      <c r="E956" t="s">
        <v>24</v>
      </c>
      <c r="F956" t="s">
        <v>28</v>
      </c>
      <c r="G956" t="s">
        <v>29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981</v>
      </c>
      <c r="B957" s="2">
        <v>45671</v>
      </c>
      <c r="C957" t="s">
        <v>716</v>
      </c>
      <c r="D957" t="s">
        <v>23</v>
      </c>
      <c r="E957" t="s">
        <v>24</v>
      </c>
      <c r="F957" t="s">
        <v>34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982</v>
      </c>
      <c r="B958" s="2">
        <v>45782</v>
      </c>
      <c r="C958" t="s">
        <v>716</v>
      </c>
      <c r="D958" t="s">
        <v>23</v>
      </c>
      <c r="E958" t="s">
        <v>24</v>
      </c>
      <c r="F958" t="s">
        <v>28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983</v>
      </c>
      <c r="B959" s="2">
        <v>45779</v>
      </c>
      <c r="C959" t="s">
        <v>716</v>
      </c>
      <c r="D959" t="s">
        <v>23</v>
      </c>
      <c r="E959" t="s">
        <v>19</v>
      </c>
      <c r="F959" t="s">
        <v>35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984</v>
      </c>
      <c r="B960" s="2">
        <v>45798</v>
      </c>
      <c r="C960" t="s">
        <v>716</v>
      </c>
      <c r="D960" t="s">
        <v>27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985</v>
      </c>
      <c r="B961" s="2">
        <v>45793</v>
      </c>
      <c r="C961" t="s">
        <v>716</v>
      </c>
      <c r="D961" t="s">
        <v>18</v>
      </c>
      <c r="E961" t="s">
        <v>24</v>
      </c>
      <c r="F961" t="s">
        <v>34</v>
      </c>
      <c r="G961" t="s">
        <v>29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986</v>
      </c>
      <c r="B962" s="2">
        <v>45801</v>
      </c>
      <c r="C962" t="s">
        <v>716</v>
      </c>
      <c r="D962" t="s">
        <v>27</v>
      </c>
      <c r="E962" t="s">
        <v>19</v>
      </c>
      <c r="F962" t="s">
        <v>25</v>
      </c>
      <c r="G962" t="s">
        <v>29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987</v>
      </c>
      <c r="B963" s="2">
        <v>45734</v>
      </c>
      <c r="C963" t="s">
        <v>716</v>
      </c>
      <c r="D963" t="s">
        <v>27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988</v>
      </c>
      <c r="B964" s="2">
        <v>45668</v>
      </c>
      <c r="C964" t="s">
        <v>716</v>
      </c>
      <c r="D964" t="s">
        <v>27</v>
      </c>
      <c r="E964" t="s">
        <v>19</v>
      </c>
      <c r="F964" t="s">
        <v>28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989</v>
      </c>
      <c r="B965" s="2">
        <v>45697</v>
      </c>
      <c r="C965" t="s">
        <v>716</v>
      </c>
      <c r="D965" t="s">
        <v>30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990</v>
      </c>
      <c r="B966" s="2">
        <v>45717</v>
      </c>
      <c r="C966" t="s">
        <v>716</v>
      </c>
      <c r="D966" t="s">
        <v>18</v>
      </c>
      <c r="E966" t="s">
        <v>19</v>
      </c>
      <c r="F966" t="s">
        <v>35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991</v>
      </c>
      <c r="B967" s="2">
        <v>45784</v>
      </c>
      <c r="C967" t="s">
        <v>716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992</v>
      </c>
      <c r="B968" s="2">
        <v>45707</v>
      </c>
      <c r="C968" t="s">
        <v>716</v>
      </c>
      <c r="D968" t="s">
        <v>30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993</v>
      </c>
      <c r="B969" s="2">
        <v>45714</v>
      </c>
      <c r="C969" t="s">
        <v>716</v>
      </c>
      <c r="D969" t="s">
        <v>23</v>
      </c>
      <c r="E969" t="s">
        <v>24</v>
      </c>
      <c r="F969" t="s">
        <v>25</v>
      </c>
      <c r="G969" t="s">
        <v>29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994</v>
      </c>
      <c r="B970" s="2">
        <v>45739</v>
      </c>
      <c r="C970" t="s">
        <v>716</v>
      </c>
      <c r="D970" t="s">
        <v>30</v>
      </c>
      <c r="E970" t="s">
        <v>24</v>
      </c>
      <c r="F970" t="s">
        <v>35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995</v>
      </c>
      <c r="B971" s="2">
        <v>45772</v>
      </c>
      <c r="C971" t="s">
        <v>716</v>
      </c>
      <c r="D971" t="s">
        <v>30</v>
      </c>
      <c r="E971" t="s">
        <v>19</v>
      </c>
      <c r="F971" t="s">
        <v>35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996</v>
      </c>
      <c r="B972" s="2">
        <v>45787</v>
      </c>
      <c r="C972" t="s">
        <v>716</v>
      </c>
      <c r="D972" t="s">
        <v>18</v>
      </c>
      <c r="E972" t="s">
        <v>19</v>
      </c>
      <c r="F972" t="s">
        <v>35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997</v>
      </c>
      <c r="B973" s="2">
        <v>45769</v>
      </c>
      <c r="C973" t="s">
        <v>716</v>
      </c>
      <c r="D973" t="s">
        <v>27</v>
      </c>
      <c r="E973" t="s">
        <v>24</v>
      </c>
      <c r="F973" t="s">
        <v>28</v>
      </c>
      <c r="G973" t="s">
        <v>29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998</v>
      </c>
      <c r="B974" s="2">
        <v>45706</v>
      </c>
      <c r="C974" t="s">
        <v>716</v>
      </c>
      <c r="D974" t="s">
        <v>23</v>
      </c>
      <c r="E974" t="s">
        <v>24</v>
      </c>
      <c r="F974" t="s">
        <v>34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999</v>
      </c>
      <c r="B975" s="2">
        <v>45683</v>
      </c>
      <c r="C975" t="s">
        <v>716</v>
      </c>
      <c r="D975" t="s">
        <v>30</v>
      </c>
      <c r="E975" t="s">
        <v>24</v>
      </c>
      <c r="F975" t="s">
        <v>28</v>
      </c>
      <c r="G975" t="s">
        <v>29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1000</v>
      </c>
      <c r="B976" s="2">
        <v>45775</v>
      </c>
      <c r="C976" t="s">
        <v>716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1001</v>
      </c>
      <c r="B977" s="2">
        <v>45749</v>
      </c>
      <c r="C977" t="s">
        <v>716</v>
      </c>
      <c r="D977" t="s">
        <v>30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1002</v>
      </c>
      <c r="B978" s="2">
        <v>45759</v>
      </c>
      <c r="C978" t="s">
        <v>716</v>
      </c>
      <c r="D978" t="s">
        <v>30</v>
      </c>
      <c r="E978" t="s">
        <v>19</v>
      </c>
      <c r="F978" t="s">
        <v>20</v>
      </c>
      <c r="G978" t="s">
        <v>29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1003</v>
      </c>
      <c r="B979" s="2">
        <v>45660</v>
      </c>
      <c r="C979" t="s">
        <v>716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1004</v>
      </c>
      <c r="B980" s="2">
        <v>45785</v>
      </c>
      <c r="C980" t="s">
        <v>716</v>
      </c>
      <c r="D980" t="s">
        <v>18</v>
      </c>
      <c r="E980" t="s">
        <v>24</v>
      </c>
      <c r="F980" t="s">
        <v>28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1005</v>
      </c>
      <c r="B981" s="2">
        <v>45708</v>
      </c>
      <c r="C981" t="s">
        <v>716</v>
      </c>
      <c r="D981" t="s">
        <v>18</v>
      </c>
      <c r="E981" t="s">
        <v>24</v>
      </c>
      <c r="F981" t="s">
        <v>34</v>
      </c>
      <c r="G981" t="s">
        <v>29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1006</v>
      </c>
      <c r="B982" s="2">
        <v>45733</v>
      </c>
      <c r="C982" t="s">
        <v>716</v>
      </c>
      <c r="D982" t="s">
        <v>18</v>
      </c>
      <c r="E982" t="s">
        <v>19</v>
      </c>
      <c r="F982" t="s">
        <v>28</v>
      </c>
      <c r="G982" t="s">
        <v>29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1007</v>
      </c>
      <c r="B983" s="2">
        <v>45757</v>
      </c>
      <c r="C983" t="s">
        <v>716</v>
      </c>
      <c r="D983" t="s">
        <v>30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1008</v>
      </c>
      <c r="B984" s="2">
        <v>45785</v>
      </c>
      <c r="C984" t="s">
        <v>716</v>
      </c>
      <c r="D984" t="s">
        <v>18</v>
      </c>
      <c r="E984" t="s">
        <v>19</v>
      </c>
      <c r="F984" t="s">
        <v>34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1009</v>
      </c>
      <c r="B985" s="2">
        <v>45766</v>
      </c>
      <c r="C985" t="s">
        <v>716</v>
      </c>
      <c r="D985" t="s">
        <v>23</v>
      </c>
      <c r="E985" t="s">
        <v>24</v>
      </c>
      <c r="F985" t="s">
        <v>28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1010</v>
      </c>
      <c r="B986" s="2">
        <v>45658</v>
      </c>
      <c r="C986" t="s">
        <v>716</v>
      </c>
      <c r="D986" t="s">
        <v>30</v>
      </c>
      <c r="E986" t="s">
        <v>32</v>
      </c>
      <c r="F986" t="s">
        <v>28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1011</v>
      </c>
      <c r="B987" s="2">
        <v>45726</v>
      </c>
      <c r="C987" t="s">
        <v>716</v>
      </c>
      <c r="D987" t="s">
        <v>27</v>
      </c>
      <c r="E987" t="s">
        <v>24</v>
      </c>
      <c r="F987" t="s">
        <v>28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1012</v>
      </c>
      <c r="B988" s="2">
        <v>45726</v>
      </c>
      <c r="C988" t="s">
        <v>716</v>
      </c>
      <c r="D988" t="s">
        <v>27</v>
      </c>
      <c r="E988" t="s">
        <v>32</v>
      </c>
      <c r="F988" t="s">
        <v>35</v>
      </c>
      <c r="G988" t="s">
        <v>29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1013</v>
      </c>
      <c r="B989" s="2">
        <v>45766</v>
      </c>
      <c r="C989" t="s">
        <v>716</v>
      </c>
      <c r="D989" t="s">
        <v>23</v>
      </c>
      <c r="E989" t="s">
        <v>32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1014</v>
      </c>
      <c r="B990" s="2">
        <v>45758</v>
      </c>
      <c r="C990" t="s">
        <v>716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1015</v>
      </c>
      <c r="B991" s="2">
        <v>45757</v>
      </c>
      <c r="C991" t="s">
        <v>716</v>
      </c>
      <c r="D991" t="s">
        <v>27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1016</v>
      </c>
      <c r="B992" s="2">
        <v>45670</v>
      </c>
      <c r="C992" t="s">
        <v>716</v>
      </c>
      <c r="D992" t="s">
        <v>23</v>
      </c>
      <c r="E992" t="s">
        <v>19</v>
      </c>
      <c r="F992" t="s">
        <v>35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1017</v>
      </c>
      <c r="B993" s="2">
        <v>45744</v>
      </c>
      <c r="C993" t="s">
        <v>716</v>
      </c>
      <c r="D993" t="s">
        <v>30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1018</v>
      </c>
      <c r="B994" s="2">
        <v>45686</v>
      </c>
      <c r="C994" t="s">
        <v>716</v>
      </c>
      <c r="D994" t="s">
        <v>27</v>
      </c>
      <c r="E994" t="s">
        <v>24</v>
      </c>
      <c r="F994" t="s">
        <v>28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1019</v>
      </c>
      <c r="B995" s="2">
        <v>45743</v>
      </c>
      <c r="C995" t="s">
        <v>716</v>
      </c>
      <c r="D995" t="s">
        <v>30</v>
      </c>
      <c r="E995" t="s">
        <v>24</v>
      </c>
      <c r="F995" t="s">
        <v>34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1020</v>
      </c>
      <c r="B996" s="2">
        <v>45736</v>
      </c>
      <c r="C996" t="s">
        <v>716</v>
      </c>
      <c r="D996" t="s">
        <v>27</v>
      </c>
      <c r="E996" t="s">
        <v>32</v>
      </c>
      <c r="F996" t="s">
        <v>35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1021</v>
      </c>
      <c r="B997" s="2">
        <v>45666</v>
      </c>
      <c r="C997" t="s">
        <v>716</v>
      </c>
      <c r="D997" t="s">
        <v>18</v>
      </c>
      <c r="E997" t="s">
        <v>24</v>
      </c>
      <c r="F997" t="s">
        <v>28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1022</v>
      </c>
      <c r="B998" s="2">
        <v>45772</v>
      </c>
      <c r="C998" t="s">
        <v>716</v>
      </c>
      <c r="D998" t="s">
        <v>23</v>
      </c>
      <c r="E998" t="s">
        <v>24</v>
      </c>
      <c r="F998" t="s">
        <v>35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1023</v>
      </c>
      <c r="B999" s="2">
        <v>45758</v>
      </c>
      <c r="C999" t="s">
        <v>716</v>
      </c>
      <c r="D999" t="s">
        <v>30</v>
      </c>
      <c r="E999" t="s">
        <v>19</v>
      </c>
      <c r="F999" t="s">
        <v>35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1024</v>
      </c>
      <c r="B1000" s="2">
        <v>45693</v>
      </c>
      <c r="C1000" t="s">
        <v>716</v>
      </c>
      <c r="D1000" t="s">
        <v>27</v>
      </c>
      <c r="E1000" t="s">
        <v>24</v>
      </c>
      <c r="F1000" t="s">
        <v>35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1025</v>
      </c>
      <c r="B1001" s="2">
        <v>45744</v>
      </c>
      <c r="C1001" t="s">
        <v>716</v>
      </c>
      <c r="D1001" t="s">
        <v>30</v>
      </c>
      <c r="E1001" t="s">
        <v>24</v>
      </c>
      <c r="F1001" t="s">
        <v>35</v>
      </c>
      <c r="G1001" t="s">
        <v>29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1026</v>
      </c>
      <c r="B1002" s="2">
        <v>45791</v>
      </c>
      <c r="C1002" t="s">
        <v>716</v>
      </c>
      <c r="D1002" t="s">
        <v>30</v>
      </c>
      <c r="E1002" t="s">
        <v>24</v>
      </c>
      <c r="F1002" t="s">
        <v>34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1027</v>
      </c>
      <c r="B1003" s="2">
        <v>45726</v>
      </c>
      <c r="C1003" t="s">
        <v>716</v>
      </c>
      <c r="D1003" t="s">
        <v>27</v>
      </c>
      <c r="E1003" t="s">
        <v>24</v>
      </c>
      <c r="F1003" t="s">
        <v>28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1028</v>
      </c>
      <c r="B1004" s="2">
        <v>45756</v>
      </c>
      <c r="C1004" t="s">
        <v>716</v>
      </c>
      <c r="D1004" t="s">
        <v>27</v>
      </c>
      <c r="E1004" t="s">
        <v>19</v>
      </c>
      <c r="F1004" t="s">
        <v>28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1029</v>
      </c>
      <c r="B1005" s="2">
        <v>45701</v>
      </c>
      <c r="C1005" t="s">
        <v>716</v>
      </c>
      <c r="D1005" t="s">
        <v>18</v>
      </c>
      <c r="E1005" t="s">
        <v>24</v>
      </c>
      <c r="F1005" t="s">
        <v>34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1030</v>
      </c>
      <c r="B1006" s="2">
        <v>45780</v>
      </c>
      <c r="C1006" t="s">
        <v>716</v>
      </c>
      <c r="D1006" t="s">
        <v>27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1031</v>
      </c>
      <c r="B1007" s="2">
        <v>45763</v>
      </c>
      <c r="C1007" t="s">
        <v>716</v>
      </c>
      <c r="D1007" t="s">
        <v>30</v>
      </c>
      <c r="E1007" t="s">
        <v>19</v>
      </c>
      <c r="F1007" t="s">
        <v>34</v>
      </c>
      <c r="G1007" t="s">
        <v>29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1032</v>
      </c>
      <c r="B1008" s="2">
        <v>45777</v>
      </c>
      <c r="C1008" t="s">
        <v>716</v>
      </c>
      <c r="D1008" t="s">
        <v>18</v>
      </c>
      <c r="E1008" t="s">
        <v>24</v>
      </c>
      <c r="F1008" t="s">
        <v>28</v>
      </c>
      <c r="G1008" t="s">
        <v>29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1033</v>
      </c>
      <c r="B1009" s="2">
        <v>45706</v>
      </c>
      <c r="C1009" t="s">
        <v>716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1034</v>
      </c>
      <c r="B1010" s="2">
        <v>45799</v>
      </c>
      <c r="C1010" t="s">
        <v>716</v>
      </c>
      <c r="D1010" t="s">
        <v>23</v>
      </c>
      <c r="E1010" t="s">
        <v>19</v>
      </c>
      <c r="F1010" t="s">
        <v>34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1035</v>
      </c>
      <c r="B1011" s="2">
        <v>45798</v>
      </c>
      <c r="C1011" t="s">
        <v>716</v>
      </c>
      <c r="D1011" t="s">
        <v>30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1036</v>
      </c>
      <c r="B1012" s="2">
        <v>45757</v>
      </c>
      <c r="C1012" t="s">
        <v>716</v>
      </c>
      <c r="D1012" t="s">
        <v>27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1037</v>
      </c>
      <c r="B1013" s="2">
        <v>45664</v>
      </c>
      <c r="C1013" t="s">
        <v>716</v>
      </c>
      <c r="D1013" t="s">
        <v>18</v>
      </c>
      <c r="E1013" t="s">
        <v>19</v>
      </c>
      <c r="F1013" t="s">
        <v>25</v>
      </c>
      <c r="G1013" t="s">
        <v>29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1038</v>
      </c>
      <c r="B1014" s="2">
        <v>45691</v>
      </c>
      <c r="C1014" t="s">
        <v>716</v>
      </c>
      <c r="D1014" t="s">
        <v>30</v>
      </c>
      <c r="E1014" t="s">
        <v>19</v>
      </c>
      <c r="F1014" t="s">
        <v>35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1039</v>
      </c>
      <c r="B1015" s="2">
        <v>45795</v>
      </c>
      <c r="C1015" t="s">
        <v>716</v>
      </c>
      <c r="D1015" t="s">
        <v>18</v>
      </c>
      <c r="E1015" t="s">
        <v>24</v>
      </c>
      <c r="F1015" t="s">
        <v>28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1040</v>
      </c>
      <c r="B1016" s="2">
        <v>45688</v>
      </c>
      <c r="C1016" t="s">
        <v>716</v>
      </c>
      <c r="D1016" t="s">
        <v>18</v>
      </c>
      <c r="E1016" t="s">
        <v>24</v>
      </c>
      <c r="F1016" t="s">
        <v>34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1041</v>
      </c>
      <c r="B1017" s="2">
        <v>45673</v>
      </c>
      <c r="C1017" t="s">
        <v>716</v>
      </c>
      <c r="D1017" t="s">
        <v>30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1042</v>
      </c>
      <c r="B1018" s="2">
        <v>45791</v>
      </c>
      <c r="C1018" t="s">
        <v>716</v>
      </c>
      <c r="D1018" t="s">
        <v>27</v>
      </c>
      <c r="E1018" t="s">
        <v>24</v>
      </c>
      <c r="F1018" t="s">
        <v>28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1043</v>
      </c>
      <c r="B1019" s="2">
        <v>45748</v>
      </c>
      <c r="C1019" t="s">
        <v>716</v>
      </c>
      <c r="D1019" t="s">
        <v>30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1044</v>
      </c>
      <c r="B1020" s="2">
        <v>45770</v>
      </c>
      <c r="C1020" t="s">
        <v>716</v>
      </c>
      <c r="D1020" t="s">
        <v>30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1045</v>
      </c>
      <c r="B1021" s="2">
        <v>45718</v>
      </c>
      <c r="C1021" t="s">
        <v>716</v>
      </c>
      <c r="D1021" t="s">
        <v>30</v>
      </c>
      <c r="E1021" t="s">
        <v>19</v>
      </c>
      <c r="F1021" t="s">
        <v>28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1046</v>
      </c>
      <c r="B1022" s="2">
        <v>45659</v>
      </c>
      <c r="C1022" t="s">
        <v>716</v>
      </c>
      <c r="D1022" t="s">
        <v>27</v>
      </c>
      <c r="E1022" t="s">
        <v>24</v>
      </c>
      <c r="F1022" t="s">
        <v>28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1047</v>
      </c>
      <c r="B1023" s="2">
        <v>45781</v>
      </c>
      <c r="C1023" t="s">
        <v>716</v>
      </c>
      <c r="D1023" t="s">
        <v>30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1048</v>
      </c>
      <c r="B1024" s="2">
        <v>45673</v>
      </c>
      <c r="C1024" t="s">
        <v>716</v>
      </c>
      <c r="D1024" t="s">
        <v>27</v>
      </c>
      <c r="E1024" t="s">
        <v>19</v>
      </c>
      <c r="F1024" t="s">
        <v>28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1049</v>
      </c>
      <c r="B1025" s="2">
        <v>45699</v>
      </c>
      <c r="C1025" t="s">
        <v>716</v>
      </c>
      <c r="D1025" t="s">
        <v>23</v>
      </c>
      <c r="E1025" t="s">
        <v>32</v>
      </c>
      <c r="F1025" t="s">
        <v>28</v>
      </c>
      <c r="G1025" t="s">
        <v>29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1050</v>
      </c>
      <c r="B1026" s="2">
        <v>45750</v>
      </c>
      <c r="C1026" t="s">
        <v>716</v>
      </c>
      <c r="D1026" t="s">
        <v>18</v>
      </c>
      <c r="E1026" t="s">
        <v>24</v>
      </c>
      <c r="F1026" t="s">
        <v>35</v>
      </c>
      <c r="G1026" t="s">
        <v>29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1051</v>
      </c>
      <c r="B1027" s="2">
        <v>45742</v>
      </c>
      <c r="C1027" t="s">
        <v>716</v>
      </c>
      <c r="D1027" t="s">
        <v>27</v>
      </c>
      <c r="E1027" t="s">
        <v>24</v>
      </c>
      <c r="F1027" t="s">
        <v>34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1052</v>
      </c>
      <c r="B1028" s="2">
        <v>45793</v>
      </c>
      <c r="C1028" t="s">
        <v>716</v>
      </c>
      <c r="D1028" t="s">
        <v>30</v>
      </c>
      <c r="E1028" t="s">
        <v>24</v>
      </c>
      <c r="F1028" t="s">
        <v>20</v>
      </c>
      <c r="G1028" t="s">
        <v>29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1053</v>
      </c>
      <c r="B1029" s="2">
        <v>45767</v>
      </c>
      <c r="C1029" t="s">
        <v>716</v>
      </c>
      <c r="D1029" t="s">
        <v>23</v>
      </c>
      <c r="E1029" t="s">
        <v>24</v>
      </c>
      <c r="F1029" t="s">
        <v>35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1054</v>
      </c>
      <c r="B1030" s="2">
        <v>45762</v>
      </c>
      <c r="C1030" t="s">
        <v>716</v>
      </c>
      <c r="D1030" t="s">
        <v>23</v>
      </c>
      <c r="E1030" t="s">
        <v>24</v>
      </c>
      <c r="F1030" t="s">
        <v>28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1055</v>
      </c>
      <c r="B1031" s="2">
        <v>45681</v>
      </c>
      <c r="C1031" t="s">
        <v>716</v>
      </c>
      <c r="D1031" t="s">
        <v>18</v>
      </c>
      <c r="E1031" t="s">
        <v>24</v>
      </c>
      <c r="F1031" t="s">
        <v>25</v>
      </c>
      <c r="G1031" t="s">
        <v>29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1056</v>
      </c>
      <c r="B1032" s="2">
        <v>45758</v>
      </c>
      <c r="C1032" t="s">
        <v>716</v>
      </c>
      <c r="D1032" t="s">
        <v>30</v>
      </c>
      <c r="E1032" t="s">
        <v>24</v>
      </c>
      <c r="F1032" t="s">
        <v>34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1057</v>
      </c>
      <c r="B1033" s="2">
        <v>45796</v>
      </c>
      <c r="C1033" t="s">
        <v>716</v>
      </c>
      <c r="D1033" t="s">
        <v>18</v>
      </c>
      <c r="E1033" t="s">
        <v>24</v>
      </c>
      <c r="F1033" t="s">
        <v>28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1058</v>
      </c>
      <c r="B1034" s="2">
        <v>45671</v>
      </c>
      <c r="C1034" t="s">
        <v>716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1059</v>
      </c>
      <c r="B1035" s="2">
        <v>45716</v>
      </c>
      <c r="C1035" t="s">
        <v>716</v>
      </c>
      <c r="D1035" t="s">
        <v>27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1060</v>
      </c>
      <c r="B1036" s="2">
        <v>45795</v>
      </c>
      <c r="C1036" t="s">
        <v>716</v>
      </c>
      <c r="D1036" t="s">
        <v>27</v>
      </c>
      <c r="E1036" t="s">
        <v>32</v>
      </c>
      <c r="F1036" t="s">
        <v>28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1061</v>
      </c>
      <c r="B1037" s="2">
        <v>45661</v>
      </c>
      <c r="C1037" t="s">
        <v>716</v>
      </c>
      <c r="D1037" t="s">
        <v>18</v>
      </c>
      <c r="E1037" t="s">
        <v>24</v>
      </c>
      <c r="F1037" t="s">
        <v>35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1062</v>
      </c>
      <c r="B1038" s="2">
        <v>45673</v>
      </c>
      <c r="C1038" t="s">
        <v>716</v>
      </c>
      <c r="D1038" t="s">
        <v>23</v>
      </c>
      <c r="E1038" t="s">
        <v>24</v>
      </c>
      <c r="F1038" t="s">
        <v>35</v>
      </c>
      <c r="G1038" t="s">
        <v>29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1063</v>
      </c>
      <c r="B1039" s="2">
        <v>45730</v>
      </c>
      <c r="C1039" t="s">
        <v>716</v>
      </c>
      <c r="D1039" t="s">
        <v>23</v>
      </c>
      <c r="E1039" t="s">
        <v>24</v>
      </c>
      <c r="F1039" t="s">
        <v>35</v>
      </c>
      <c r="G1039" t="s">
        <v>29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1064</v>
      </c>
      <c r="B1040" s="2">
        <v>45680</v>
      </c>
      <c r="C1040" t="s">
        <v>716</v>
      </c>
      <c r="D1040" t="s">
        <v>27</v>
      </c>
      <c r="E1040" t="s">
        <v>24</v>
      </c>
      <c r="F1040" t="s">
        <v>28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1065</v>
      </c>
      <c r="B1041" s="2">
        <v>45691</v>
      </c>
      <c r="C1041" t="s">
        <v>716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1066</v>
      </c>
      <c r="B1042" s="2">
        <v>45793</v>
      </c>
      <c r="C1042" t="s">
        <v>716</v>
      </c>
      <c r="D1042" t="s">
        <v>27</v>
      </c>
      <c r="E1042" t="s">
        <v>24</v>
      </c>
      <c r="F1042" t="s">
        <v>34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1067</v>
      </c>
      <c r="B1043" s="2">
        <v>45668</v>
      </c>
      <c r="C1043" t="s">
        <v>716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1068</v>
      </c>
      <c r="B1044" s="2">
        <v>45802</v>
      </c>
      <c r="C1044" t="s">
        <v>716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1069</v>
      </c>
      <c r="B1045" s="2">
        <v>45785</v>
      </c>
      <c r="C1045" t="s">
        <v>716</v>
      </c>
      <c r="D1045" t="s">
        <v>27</v>
      </c>
      <c r="E1045" t="s">
        <v>24</v>
      </c>
      <c r="F1045" t="s">
        <v>28</v>
      </c>
      <c r="G1045" t="s">
        <v>29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1070</v>
      </c>
      <c r="B1046" s="2">
        <v>45714</v>
      </c>
      <c r="C1046" t="s">
        <v>716</v>
      </c>
      <c r="D1046" t="s">
        <v>27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1071</v>
      </c>
      <c r="B1047" s="2">
        <v>45746</v>
      </c>
      <c r="C1047" t="s">
        <v>716</v>
      </c>
      <c r="D1047" t="s">
        <v>18</v>
      </c>
      <c r="E1047" t="s">
        <v>24</v>
      </c>
      <c r="F1047" t="s">
        <v>28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1072</v>
      </c>
      <c r="B1048" s="2">
        <v>45760</v>
      </c>
      <c r="C1048" t="s">
        <v>716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1073</v>
      </c>
      <c r="B1049" s="2">
        <v>45708</v>
      </c>
      <c r="C1049" t="s">
        <v>716</v>
      </c>
      <c r="D1049" t="s">
        <v>27</v>
      </c>
      <c r="F1049" t="s">
        <v>28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1074</v>
      </c>
      <c r="B1050" s="2">
        <v>45766</v>
      </c>
      <c r="C1050" t="s">
        <v>716</v>
      </c>
      <c r="D1050" t="s">
        <v>23</v>
      </c>
      <c r="E1050" t="s">
        <v>19</v>
      </c>
      <c r="F1050" t="s">
        <v>35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1075</v>
      </c>
      <c r="B1051" s="2">
        <v>45738</v>
      </c>
      <c r="C1051" t="s">
        <v>716</v>
      </c>
      <c r="D1051" t="s">
        <v>30</v>
      </c>
      <c r="E1051" t="s">
        <v>24</v>
      </c>
      <c r="F1051" t="s">
        <v>28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1076</v>
      </c>
      <c r="B1052" s="2">
        <v>45716</v>
      </c>
      <c r="C1052" t="s">
        <v>716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1077</v>
      </c>
      <c r="B1053" s="2">
        <v>45801</v>
      </c>
      <c r="C1053" t="s">
        <v>716</v>
      </c>
      <c r="D1053" t="s">
        <v>27</v>
      </c>
      <c r="E1053" t="s">
        <v>24</v>
      </c>
      <c r="F1053" t="s">
        <v>35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1078</v>
      </c>
      <c r="B1054" s="2">
        <v>45691</v>
      </c>
      <c r="C1054" t="s">
        <v>716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1079</v>
      </c>
      <c r="B1055" s="2">
        <v>45684</v>
      </c>
      <c r="C1055" t="s">
        <v>716</v>
      </c>
      <c r="D1055" t="s">
        <v>30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1080</v>
      </c>
      <c r="B1056" s="2">
        <v>45764</v>
      </c>
      <c r="C1056" t="s">
        <v>716</v>
      </c>
      <c r="D1056" t="s">
        <v>27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1081</v>
      </c>
      <c r="B1057" s="2">
        <v>45694</v>
      </c>
      <c r="C1057" t="s">
        <v>716</v>
      </c>
      <c r="D1057" t="s">
        <v>23</v>
      </c>
      <c r="E1057" t="s">
        <v>24</v>
      </c>
      <c r="F1057" t="s">
        <v>35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1082</v>
      </c>
      <c r="B1058" s="2">
        <v>45767</v>
      </c>
      <c r="C1058" t="s">
        <v>716</v>
      </c>
      <c r="D1058" t="s">
        <v>30</v>
      </c>
      <c r="E1058" t="s">
        <v>24</v>
      </c>
      <c r="F1058" t="s">
        <v>28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1083</v>
      </c>
      <c r="B1059" s="2">
        <v>45783</v>
      </c>
      <c r="C1059" t="s">
        <v>716</v>
      </c>
      <c r="D1059" t="s">
        <v>18</v>
      </c>
      <c r="E1059" t="s">
        <v>24</v>
      </c>
      <c r="F1059" t="s">
        <v>28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1084</v>
      </c>
      <c r="B1060" s="2">
        <v>45793</v>
      </c>
      <c r="C1060" t="s">
        <v>716</v>
      </c>
      <c r="D1060" t="s">
        <v>30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1085</v>
      </c>
      <c r="B1061" s="2">
        <v>45718</v>
      </c>
      <c r="C1061" t="s">
        <v>716</v>
      </c>
      <c r="D1061" t="s">
        <v>30</v>
      </c>
      <c r="E1061" t="s">
        <v>24</v>
      </c>
      <c r="F1061" t="s">
        <v>28</v>
      </c>
      <c r="G1061" t="s">
        <v>29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1086</v>
      </c>
      <c r="B1062" s="2">
        <v>45756</v>
      </c>
      <c r="C1062" t="s">
        <v>716</v>
      </c>
      <c r="D1062" t="s">
        <v>23</v>
      </c>
      <c r="E1062" t="s">
        <v>24</v>
      </c>
      <c r="F1062" t="s">
        <v>35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1087</v>
      </c>
      <c r="B1063" s="2">
        <v>45683</v>
      </c>
      <c r="C1063" t="s">
        <v>716</v>
      </c>
      <c r="D1063" t="s">
        <v>27</v>
      </c>
      <c r="E1063" t="s">
        <v>24</v>
      </c>
      <c r="F1063" t="s">
        <v>28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1088</v>
      </c>
      <c r="B1064" s="2">
        <v>45713</v>
      </c>
      <c r="C1064" t="s">
        <v>716</v>
      </c>
      <c r="D1064" t="s">
        <v>30</v>
      </c>
      <c r="E1064" t="s">
        <v>24</v>
      </c>
      <c r="F1064" t="s">
        <v>28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1089</v>
      </c>
      <c r="B1065" s="2">
        <v>45664</v>
      </c>
      <c r="C1065" t="s">
        <v>716</v>
      </c>
      <c r="D1065" t="s">
        <v>27</v>
      </c>
      <c r="E1065" t="s">
        <v>24</v>
      </c>
      <c r="F1065" t="s">
        <v>25</v>
      </c>
      <c r="G1065" t="s">
        <v>29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1090</v>
      </c>
      <c r="B1066" s="2">
        <v>45724</v>
      </c>
      <c r="C1066" t="s">
        <v>716</v>
      </c>
      <c r="D1066" t="s">
        <v>30</v>
      </c>
      <c r="E1066" t="s">
        <v>24</v>
      </c>
      <c r="F1066" t="s">
        <v>35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1091</v>
      </c>
      <c r="B1067" s="2">
        <v>45799</v>
      </c>
      <c r="C1067" t="s">
        <v>716</v>
      </c>
      <c r="D1067" t="s">
        <v>27</v>
      </c>
      <c r="E1067" t="s">
        <v>24</v>
      </c>
      <c r="F1067" t="s">
        <v>34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1092</v>
      </c>
      <c r="B1068" s="2">
        <v>45765</v>
      </c>
      <c r="C1068" t="s">
        <v>716</v>
      </c>
      <c r="D1068" t="s">
        <v>27</v>
      </c>
      <c r="E1068" t="s">
        <v>24</v>
      </c>
      <c r="F1068" t="s">
        <v>28</v>
      </c>
      <c r="G1068" t="s">
        <v>29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1093</v>
      </c>
      <c r="B1069" s="2">
        <v>45712</v>
      </c>
      <c r="C1069" t="s">
        <v>716</v>
      </c>
      <c r="D1069" t="s">
        <v>23</v>
      </c>
      <c r="E1069" t="s">
        <v>24</v>
      </c>
      <c r="F1069" t="s">
        <v>34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1094</v>
      </c>
      <c r="B1070" s="2">
        <v>45699</v>
      </c>
      <c r="C1070" t="s">
        <v>716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1095</v>
      </c>
      <c r="B1071" s="2">
        <v>45727</v>
      </c>
      <c r="C1071" t="s">
        <v>716</v>
      </c>
      <c r="D1071" t="s">
        <v>23</v>
      </c>
      <c r="E1071" t="s">
        <v>19</v>
      </c>
      <c r="F1071" t="s">
        <v>28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1096</v>
      </c>
      <c r="B1072" s="2">
        <v>45758</v>
      </c>
      <c r="C1072" t="s">
        <v>716</v>
      </c>
      <c r="D1072" t="s">
        <v>27</v>
      </c>
      <c r="E1072" t="s">
        <v>32</v>
      </c>
      <c r="F1072" t="s">
        <v>34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1097</v>
      </c>
      <c r="B1073" s="2">
        <v>45727</v>
      </c>
      <c r="C1073" t="s">
        <v>716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1098</v>
      </c>
      <c r="B1074" s="2">
        <v>45799</v>
      </c>
      <c r="C1074" t="s">
        <v>716</v>
      </c>
      <c r="D1074" t="s">
        <v>27</v>
      </c>
      <c r="E1074" t="s">
        <v>24</v>
      </c>
      <c r="F1074" t="s">
        <v>34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1099</v>
      </c>
      <c r="B1075" s="2">
        <v>45710</v>
      </c>
      <c r="C1075" t="s">
        <v>716</v>
      </c>
      <c r="D1075" t="s">
        <v>30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1100</v>
      </c>
      <c r="B1076" s="2">
        <v>45670</v>
      </c>
      <c r="C1076" t="s">
        <v>716</v>
      </c>
      <c r="D1076" t="s">
        <v>27</v>
      </c>
      <c r="E1076" t="s">
        <v>24</v>
      </c>
      <c r="F1076" t="s">
        <v>28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1101</v>
      </c>
      <c r="B1077" s="2">
        <v>45796</v>
      </c>
      <c r="C1077" t="s">
        <v>716</v>
      </c>
      <c r="D1077" t="s">
        <v>30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1102</v>
      </c>
      <c r="B1078" s="2">
        <v>45724</v>
      </c>
      <c r="C1078" t="s">
        <v>716</v>
      </c>
      <c r="D1078" t="s">
        <v>18</v>
      </c>
      <c r="E1078" t="s">
        <v>32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1103</v>
      </c>
      <c r="B1079" s="2">
        <v>45767</v>
      </c>
      <c r="C1079" t="s">
        <v>716</v>
      </c>
      <c r="D1079" t="s">
        <v>30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1104</v>
      </c>
      <c r="B1080" s="2">
        <v>45785</v>
      </c>
      <c r="C1080" t="s">
        <v>716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1105</v>
      </c>
      <c r="B1081" s="2">
        <v>45787</v>
      </c>
      <c r="C1081" t="s">
        <v>716</v>
      </c>
      <c r="D1081" t="s">
        <v>30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1106</v>
      </c>
      <c r="B1082" s="2">
        <v>45744</v>
      </c>
      <c r="C1082" t="s">
        <v>716</v>
      </c>
      <c r="D1082" t="s">
        <v>27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1107</v>
      </c>
      <c r="B1083" s="2">
        <v>45777</v>
      </c>
      <c r="C1083" t="s">
        <v>716</v>
      </c>
      <c r="D1083" t="s">
        <v>27</v>
      </c>
      <c r="E1083" t="s">
        <v>24</v>
      </c>
      <c r="F1083" t="s">
        <v>28</v>
      </c>
      <c r="G1083" t="s">
        <v>29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1108</v>
      </c>
      <c r="B1084" s="2">
        <v>45696</v>
      </c>
      <c r="C1084" t="s">
        <v>716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1109</v>
      </c>
      <c r="B1085" s="2">
        <v>45723</v>
      </c>
      <c r="C1085" t="s">
        <v>716</v>
      </c>
      <c r="D1085" t="s">
        <v>30</v>
      </c>
      <c r="E1085" t="s">
        <v>24</v>
      </c>
      <c r="F1085" t="s">
        <v>34</v>
      </c>
      <c r="G1085" t="s">
        <v>29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1110</v>
      </c>
      <c r="B1086" s="2">
        <v>45798</v>
      </c>
      <c r="C1086" t="s">
        <v>716</v>
      </c>
      <c r="D1086" t="s">
        <v>30</v>
      </c>
      <c r="E1086" t="s">
        <v>24</v>
      </c>
      <c r="F1086" t="s">
        <v>35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1111</v>
      </c>
      <c r="B1087" s="2">
        <v>45759</v>
      </c>
      <c r="C1087" t="s">
        <v>716</v>
      </c>
      <c r="D1087" t="s">
        <v>30</v>
      </c>
      <c r="E1087" t="s">
        <v>24</v>
      </c>
      <c r="F1087" t="s">
        <v>35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1112</v>
      </c>
      <c r="B1088" s="2">
        <v>45690</v>
      </c>
      <c r="C1088" t="s">
        <v>716</v>
      </c>
      <c r="D1088" t="s">
        <v>30</v>
      </c>
      <c r="E1088" t="s">
        <v>24</v>
      </c>
      <c r="F1088" t="s">
        <v>28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1113</v>
      </c>
      <c r="B1089" s="2">
        <v>45769</v>
      </c>
      <c r="C1089" t="s">
        <v>716</v>
      </c>
      <c r="D1089" t="s">
        <v>18</v>
      </c>
      <c r="E1089" t="s">
        <v>32</v>
      </c>
      <c r="F1089" t="s">
        <v>34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1114</v>
      </c>
      <c r="B1090" s="2">
        <v>45696</v>
      </c>
      <c r="C1090" t="s">
        <v>716</v>
      </c>
      <c r="D1090" t="s">
        <v>18</v>
      </c>
      <c r="E1090" t="s">
        <v>24</v>
      </c>
      <c r="F1090" t="s">
        <v>35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1115</v>
      </c>
      <c r="B1091" s="2">
        <v>45681</v>
      </c>
      <c r="C1091" t="s">
        <v>716</v>
      </c>
      <c r="D1091" t="s">
        <v>30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1116</v>
      </c>
      <c r="B1092" s="2">
        <v>45789</v>
      </c>
      <c r="C1092" t="s">
        <v>716</v>
      </c>
      <c r="D1092" t="s">
        <v>30</v>
      </c>
      <c r="E1092" t="s">
        <v>24</v>
      </c>
      <c r="F1092" t="s">
        <v>28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1117</v>
      </c>
      <c r="B1093" s="2">
        <v>45746</v>
      </c>
      <c r="C1093" t="s">
        <v>716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1118</v>
      </c>
      <c r="B1094" s="2">
        <v>45659</v>
      </c>
      <c r="C1094" t="s">
        <v>716</v>
      </c>
      <c r="D1094" t="s">
        <v>30</v>
      </c>
      <c r="E1094" t="s">
        <v>19</v>
      </c>
      <c r="F1094" t="s">
        <v>28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1119</v>
      </c>
      <c r="B1095" s="2">
        <v>45737</v>
      </c>
      <c r="C1095" t="s">
        <v>716</v>
      </c>
      <c r="D1095" t="s">
        <v>30</v>
      </c>
      <c r="E1095" t="s">
        <v>32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1120</v>
      </c>
      <c r="B1096" s="2">
        <v>45682</v>
      </c>
      <c r="C1096" t="s">
        <v>716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1121</v>
      </c>
      <c r="B1097" s="2">
        <v>45669</v>
      </c>
      <c r="C1097" t="s">
        <v>716</v>
      </c>
      <c r="D1097" t="s">
        <v>30</v>
      </c>
      <c r="E1097" t="s">
        <v>32</v>
      </c>
      <c r="F1097" t="s">
        <v>35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1122</v>
      </c>
      <c r="B1098" s="2">
        <v>45734</v>
      </c>
      <c r="C1098" t="s">
        <v>716</v>
      </c>
      <c r="D1098" t="s">
        <v>27</v>
      </c>
      <c r="E1098" t="s">
        <v>19</v>
      </c>
      <c r="F1098" t="s">
        <v>34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1123</v>
      </c>
      <c r="B1099" s="2">
        <v>45742</v>
      </c>
      <c r="C1099" t="s">
        <v>716</v>
      </c>
      <c r="D1099" t="s">
        <v>27</v>
      </c>
      <c r="E1099" t="s">
        <v>24</v>
      </c>
      <c r="F1099" t="s">
        <v>28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1124</v>
      </c>
      <c r="B1100" s="2">
        <v>45766</v>
      </c>
      <c r="C1100" t="s">
        <v>716</v>
      </c>
      <c r="D1100" t="s">
        <v>18</v>
      </c>
      <c r="E1100" t="s">
        <v>24</v>
      </c>
      <c r="F1100" t="s">
        <v>28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1125</v>
      </c>
      <c r="B1101" s="2">
        <v>45764</v>
      </c>
      <c r="C1101" t="s">
        <v>716</v>
      </c>
      <c r="D1101" t="s">
        <v>27</v>
      </c>
      <c r="E1101" t="s">
        <v>24</v>
      </c>
      <c r="F1101" t="s">
        <v>25</v>
      </c>
      <c r="G1101" t="s">
        <v>29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1126</v>
      </c>
      <c r="B1102" s="2">
        <v>45803</v>
      </c>
      <c r="C1102" t="s">
        <v>716</v>
      </c>
      <c r="D1102" t="s">
        <v>30</v>
      </c>
      <c r="E1102" t="s">
        <v>24</v>
      </c>
      <c r="F1102" t="s">
        <v>28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1127</v>
      </c>
      <c r="B1103" s="2">
        <v>45761</v>
      </c>
      <c r="C1103" t="s">
        <v>716</v>
      </c>
      <c r="D1103" t="s">
        <v>18</v>
      </c>
      <c r="E1103" t="s">
        <v>24</v>
      </c>
      <c r="F1103" t="s">
        <v>35</v>
      </c>
      <c r="G1103" t="s">
        <v>29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1128</v>
      </c>
      <c r="B1104" s="2">
        <v>45680</v>
      </c>
      <c r="C1104" t="s">
        <v>716</v>
      </c>
      <c r="D1104" t="s">
        <v>30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1129</v>
      </c>
      <c r="B1105" s="2">
        <v>45663</v>
      </c>
      <c r="C1105" t="s">
        <v>716</v>
      </c>
      <c r="D1105" t="s">
        <v>27</v>
      </c>
      <c r="E1105" t="s">
        <v>24</v>
      </c>
      <c r="F1105" t="s">
        <v>34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1130</v>
      </c>
      <c r="B1106" s="2">
        <v>45808</v>
      </c>
      <c r="C1106" t="s">
        <v>716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1131</v>
      </c>
      <c r="B1107" s="2">
        <v>45796</v>
      </c>
      <c r="C1107" t="s">
        <v>716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1132</v>
      </c>
      <c r="B1108" s="2">
        <v>45713</v>
      </c>
      <c r="C1108" t="s">
        <v>716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1133</v>
      </c>
      <c r="B1109" s="2">
        <v>45667</v>
      </c>
      <c r="C1109" t="s">
        <v>716</v>
      </c>
      <c r="D1109" t="s">
        <v>30</v>
      </c>
      <c r="E1109" t="s">
        <v>32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1134</v>
      </c>
      <c r="B1110" s="2">
        <v>45790</v>
      </c>
      <c r="C1110" t="s">
        <v>716</v>
      </c>
      <c r="D1110" t="s">
        <v>18</v>
      </c>
      <c r="E1110" t="s">
        <v>32</v>
      </c>
      <c r="F1110" t="s">
        <v>28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1135</v>
      </c>
      <c r="B1111" s="2">
        <v>45774</v>
      </c>
      <c r="C1111" t="s">
        <v>716</v>
      </c>
      <c r="D1111" t="s">
        <v>23</v>
      </c>
      <c r="E1111" t="s">
        <v>19</v>
      </c>
      <c r="F1111" t="s">
        <v>25</v>
      </c>
      <c r="G1111" t="s">
        <v>29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1136</v>
      </c>
      <c r="B1112" s="2">
        <v>45750</v>
      </c>
      <c r="C1112" t="s">
        <v>716</v>
      </c>
      <c r="D1112" t="s">
        <v>30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1137</v>
      </c>
      <c r="B1113" s="2">
        <v>45742</v>
      </c>
      <c r="C1113" t="s">
        <v>716</v>
      </c>
      <c r="D1113" t="s">
        <v>30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1138</v>
      </c>
      <c r="B1114" s="2">
        <v>45688</v>
      </c>
      <c r="C1114" t="s">
        <v>716</v>
      </c>
      <c r="D1114" t="s">
        <v>30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1139</v>
      </c>
      <c r="B1115" s="2">
        <v>45682</v>
      </c>
      <c r="C1115" t="s">
        <v>716</v>
      </c>
      <c r="D1115" t="s">
        <v>30</v>
      </c>
      <c r="E1115" t="s">
        <v>24</v>
      </c>
      <c r="F1115" t="s">
        <v>35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1140</v>
      </c>
      <c r="B1116" s="2">
        <v>45694</v>
      </c>
      <c r="C1116" t="s">
        <v>716</v>
      </c>
      <c r="D1116" t="s">
        <v>23</v>
      </c>
      <c r="E1116" t="s">
        <v>24</v>
      </c>
      <c r="F1116" t="s">
        <v>34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1141</v>
      </c>
      <c r="B1117" s="2">
        <v>45726</v>
      </c>
      <c r="C1117" t="s">
        <v>716</v>
      </c>
      <c r="D1117" t="s">
        <v>27</v>
      </c>
      <c r="E1117" t="s">
        <v>24</v>
      </c>
      <c r="F1117" t="s">
        <v>28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1142</v>
      </c>
      <c r="B1118" s="2">
        <v>45683</v>
      </c>
      <c r="C1118" t="s">
        <v>716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1143</v>
      </c>
      <c r="B1119" s="2">
        <v>45658</v>
      </c>
      <c r="C1119" t="s">
        <v>716</v>
      </c>
      <c r="D1119" t="s">
        <v>27</v>
      </c>
      <c r="E1119" t="s">
        <v>24</v>
      </c>
      <c r="F1119" t="s">
        <v>28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1144</v>
      </c>
      <c r="B1120" s="2">
        <v>45775</v>
      </c>
      <c r="C1120" t="s">
        <v>716</v>
      </c>
      <c r="D1120" t="s">
        <v>18</v>
      </c>
      <c r="E1120" t="s">
        <v>19</v>
      </c>
      <c r="F1120" t="s">
        <v>35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1145</v>
      </c>
      <c r="B1121" s="2">
        <v>45751</v>
      </c>
      <c r="C1121" t="s">
        <v>716</v>
      </c>
      <c r="D1121" t="s">
        <v>18</v>
      </c>
      <c r="E1121" t="s">
        <v>24</v>
      </c>
      <c r="F1121" t="s">
        <v>25</v>
      </c>
      <c r="G1121" t="s">
        <v>29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1146</v>
      </c>
      <c r="B1122" s="2">
        <v>45718</v>
      </c>
      <c r="C1122" t="s">
        <v>716</v>
      </c>
      <c r="D1122" t="s">
        <v>27</v>
      </c>
      <c r="E1122" t="s">
        <v>24</v>
      </c>
      <c r="F1122" t="s">
        <v>28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1147</v>
      </c>
      <c r="B1123" s="2">
        <v>45735</v>
      </c>
      <c r="C1123" t="s">
        <v>716</v>
      </c>
      <c r="D1123" t="s">
        <v>30</v>
      </c>
      <c r="E1123" t="s">
        <v>32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1148</v>
      </c>
      <c r="B1124" s="2">
        <v>45677</v>
      </c>
      <c r="C1124" t="s">
        <v>716</v>
      </c>
      <c r="D1124" t="s">
        <v>30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1149</v>
      </c>
      <c r="B1125" s="2">
        <v>45750</v>
      </c>
      <c r="C1125" t="s">
        <v>716</v>
      </c>
      <c r="D1125" t="s">
        <v>27</v>
      </c>
      <c r="E1125" t="s">
        <v>24</v>
      </c>
      <c r="F1125" t="s">
        <v>28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1150</v>
      </c>
      <c r="B1126" s="2">
        <v>45668</v>
      </c>
      <c r="C1126" t="s">
        <v>716</v>
      </c>
      <c r="D1126" t="s">
        <v>27</v>
      </c>
      <c r="E1126" t="s">
        <v>19</v>
      </c>
      <c r="F1126" t="s">
        <v>35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1151</v>
      </c>
      <c r="B1127" s="2">
        <v>45690</v>
      </c>
      <c r="C1127" t="s">
        <v>716</v>
      </c>
      <c r="D1127" t="s">
        <v>23</v>
      </c>
      <c r="E1127" t="s">
        <v>19</v>
      </c>
      <c r="F1127" t="s">
        <v>35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1152</v>
      </c>
      <c r="B1128" s="2">
        <v>45748</v>
      </c>
      <c r="C1128" t="s">
        <v>716</v>
      </c>
      <c r="D1128" t="s">
        <v>30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1153</v>
      </c>
      <c r="B1129" s="2">
        <v>45799</v>
      </c>
      <c r="C1129" t="s">
        <v>716</v>
      </c>
      <c r="D1129" t="s">
        <v>27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1154</v>
      </c>
      <c r="B1130" s="2">
        <v>45708</v>
      </c>
      <c r="C1130" t="s">
        <v>716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1155</v>
      </c>
      <c r="B1131" s="2">
        <v>45737</v>
      </c>
      <c r="C1131" t="s">
        <v>716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1156</v>
      </c>
      <c r="B1132" s="2">
        <v>45778</v>
      </c>
      <c r="C1132" t="s">
        <v>716</v>
      </c>
      <c r="D1132" t="s">
        <v>23</v>
      </c>
      <c r="E1132" t="s">
        <v>19</v>
      </c>
      <c r="F1132" t="s">
        <v>34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1157</v>
      </c>
      <c r="B1133" s="2">
        <v>45663</v>
      </c>
      <c r="C1133" t="s">
        <v>716</v>
      </c>
      <c r="D1133" t="s">
        <v>23</v>
      </c>
      <c r="E1133" t="s">
        <v>24</v>
      </c>
      <c r="F1133" t="s">
        <v>28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1158</v>
      </c>
      <c r="B1134" s="2">
        <v>45759</v>
      </c>
      <c r="C1134" t="s">
        <v>716</v>
      </c>
      <c r="D1134" t="s">
        <v>18</v>
      </c>
      <c r="E1134" t="s">
        <v>19</v>
      </c>
      <c r="F1134" t="s">
        <v>28</v>
      </c>
      <c r="G1134" t="s">
        <v>29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1159</v>
      </c>
      <c r="B1135" s="2">
        <v>45765</v>
      </c>
      <c r="C1135" t="s">
        <v>716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1160</v>
      </c>
      <c r="B1136" s="2">
        <v>45740</v>
      </c>
      <c r="C1136" t="s">
        <v>716</v>
      </c>
      <c r="D1136" t="s">
        <v>27</v>
      </c>
      <c r="E1136" t="s">
        <v>24</v>
      </c>
      <c r="F1136" t="s">
        <v>35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1161</v>
      </c>
      <c r="B1137" s="2">
        <v>45734</v>
      </c>
      <c r="C1137" t="s">
        <v>716</v>
      </c>
      <c r="D1137" t="s">
        <v>27</v>
      </c>
      <c r="E1137" t="s">
        <v>19</v>
      </c>
      <c r="F1137" t="s">
        <v>20</v>
      </c>
      <c r="G1137" t="s">
        <v>29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1162</v>
      </c>
      <c r="B1138" s="2">
        <v>45777</v>
      </c>
      <c r="C1138" t="s">
        <v>716</v>
      </c>
      <c r="D1138" t="s">
        <v>30</v>
      </c>
      <c r="E1138" t="s">
        <v>32</v>
      </c>
      <c r="F1138" t="s">
        <v>28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1163</v>
      </c>
      <c r="B1139" s="2">
        <v>45682</v>
      </c>
      <c r="C1139" t="s">
        <v>716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1164</v>
      </c>
      <c r="B1140" s="2">
        <v>45757</v>
      </c>
      <c r="C1140" t="s">
        <v>716</v>
      </c>
      <c r="D1140" t="s">
        <v>30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1165</v>
      </c>
      <c r="B1141" s="2">
        <v>45667</v>
      </c>
      <c r="C1141" t="s">
        <v>716</v>
      </c>
      <c r="D1141" t="s">
        <v>23</v>
      </c>
      <c r="E1141" t="s">
        <v>24</v>
      </c>
      <c r="F1141" t="s">
        <v>35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1166</v>
      </c>
      <c r="B1142" s="2">
        <v>45699</v>
      </c>
      <c r="C1142" t="s">
        <v>716</v>
      </c>
      <c r="D1142" t="s">
        <v>30</v>
      </c>
      <c r="E1142" t="s">
        <v>24</v>
      </c>
      <c r="F1142" t="s">
        <v>28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1167</v>
      </c>
      <c r="B1143" s="2">
        <v>45778</v>
      </c>
      <c r="C1143" t="s">
        <v>716</v>
      </c>
      <c r="D1143" t="s">
        <v>27</v>
      </c>
      <c r="E1143" t="s">
        <v>24</v>
      </c>
      <c r="F1143" t="s">
        <v>35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1168</v>
      </c>
      <c r="B1144" s="2">
        <v>45675</v>
      </c>
      <c r="C1144" t="s">
        <v>716</v>
      </c>
      <c r="D1144" t="s">
        <v>27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1169</v>
      </c>
      <c r="B1145" s="2">
        <v>45659</v>
      </c>
      <c r="C1145" t="s">
        <v>716</v>
      </c>
      <c r="D1145" t="s">
        <v>18</v>
      </c>
      <c r="E1145" t="s">
        <v>24</v>
      </c>
      <c r="F1145" t="s">
        <v>28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1170</v>
      </c>
      <c r="B1146" s="2">
        <v>45788</v>
      </c>
      <c r="C1146" t="s">
        <v>716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1171</v>
      </c>
      <c r="B1147" s="2">
        <v>45738</v>
      </c>
      <c r="C1147" t="s">
        <v>716</v>
      </c>
      <c r="D1147" t="s">
        <v>18</v>
      </c>
      <c r="E1147" t="s">
        <v>24</v>
      </c>
      <c r="F1147" t="s">
        <v>34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1172</v>
      </c>
      <c r="B1148" s="2">
        <v>45779</v>
      </c>
      <c r="C1148" t="s">
        <v>716</v>
      </c>
      <c r="D1148" t="s">
        <v>30</v>
      </c>
      <c r="E1148" t="s">
        <v>24</v>
      </c>
      <c r="F1148" t="s">
        <v>35</v>
      </c>
      <c r="G1148" t="s">
        <v>29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1173</v>
      </c>
      <c r="B1149" s="2">
        <v>45803</v>
      </c>
      <c r="C1149" t="s">
        <v>716</v>
      </c>
      <c r="D1149" t="s">
        <v>27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1174</v>
      </c>
      <c r="B1150" s="2">
        <v>45729</v>
      </c>
      <c r="C1150" t="s">
        <v>716</v>
      </c>
      <c r="D1150" t="s">
        <v>30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1175</v>
      </c>
      <c r="B1151" s="2">
        <v>45794</v>
      </c>
      <c r="C1151" t="s">
        <v>716</v>
      </c>
      <c r="D1151" t="s">
        <v>30</v>
      </c>
      <c r="E1151" t="s">
        <v>19</v>
      </c>
      <c r="F1151" t="s">
        <v>28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1176</v>
      </c>
      <c r="B1152" s="2">
        <v>45729</v>
      </c>
      <c r="C1152" t="s">
        <v>716</v>
      </c>
      <c r="D1152" t="s">
        <v>18</v>
      </c>
      <c r="E1152" t="s">
        <v>19</v>
      </c>
      <c r="F1152" t="s">
        <v>34</v>
      </c>
      <c r="G1152" t="s">
        <v>29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1177</v>
      </c>
      <c r="B1153" s="2">
        <v>45699</v>
      </c>
      <c r="C1153" t="s">
        <v>716</v>
      </c>
      <c r="D1153" t="s">
        <v>27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1178</v>
      </c>
      <c r="B1154" s="2">
        <v>45717</v>
      </c>
      <c r="C1154" t="s">
        <v>716</v>
      </c>
      <c r="D1154" t="s">
        <v>23</v>
      </c>
      <c r="E1154" t="s">
        <v>24</v>
      </c>
      <c r="F1154" t="s">
        <v>35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1179</v>
      </c>
      <c r="B1155" s="2">
        <v>45762</v>
      </c>
      <c r="C1155" t="s">
        <v>716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1180</v>
      </c>
      <c r="B1156" s="2">
        <v>45690</v>
      </c>
      <c r="C1156" t="s">
        <v>716</v>
      </c>
      <c r="D1156" t="s">
        <v>27</v>
      </c>
      <c r="E1156" t="s">
        <v>24</v>
      </c>
      <c r="F1156" t="s">
        <v>25</v>
      </c>
      <c r="G1156" t="s">
        <v>29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1181</v>
      </c>
      <c r="B1157" s="2">
        <v>45796</v>
      </c>
      <c r="C1157" t="s">
        <v>716</v>
      </c>
      <c r="D1157" t="s">
        <v>30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1182</v>
      </c>
      <c r="B1158" s="2">
        <v>45662</v>
      </c>
      <c r="C1158" t="s">
        <v>716</v>
      </c>
      <c r="D1158" t="s">
        <v>23</v>
      </c>
      <c r="E1158" t="s">
        <v>24</v>
      </c>
      <c r="F1158" t="s">
        <v>34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1183</v>
      </c>
      <c r="B1159" s="2">
        <v>45724</v>
      </c>
      <c r="C1159" t="s">
        <v>716</v>
      </c>
      <c r="D1159" t="s">
        <v>30</v>
      </c>
      <c r="E1159" t="s">
        <v>24</v>
      </c>
      <c r="F1159" t="s">
        <v>28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1184</v>
      </c>
      <c r="B1160" s="2">
        <v>45728</v>
      </c>
      <c r="C1160" t="s">
        <v>716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1185</v>
      </c>
      <c r="B1161" s="2">
        <v>45681</v>
      </c>
      <c r="C1161" t="s">
        <v>716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1186</v>
      </c>
      <c r="B1162" s="2">
        <v>45799</v>
      </c>
      <c r="C1162" t="s">
        <v>716</v>
      </c>
      <c r="D1162" t="s">
        <v>30</v>
      </c>
      <c r="E1162" t="s">
        <v>24</v>
      </c>
      <c r="F1162" t="s">
        <v>28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1187</v>
      </c>
      <c r="B1163" s="2">
        <v>45743</v>
      </c>
      <c r="C1163" t="s">
        <v>716</v>
      </c>
      <c r="D1163" t="s">
        <v>30</v>
      </c>
      <c r="E1163" t="s">
        <v>24</v>
      </c>
      <c r="F1163" t="s">
        <v>28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1188</v>
      </c>
      <c r="B1164" s="2">
        <v>45659</v>
      </c>
      <c r="C1164" t="s">
        <v>716</v>
      </c>
      <c r="D1164" t="s">
        <v>23</v>
      </c>
      <c r="E1164" t="s">
        <v>24</v>
      </c>
      <c r="F1164" t="s">
        <v>35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1189</v>
      </c>
      <c r="B1165" s="2">
        <v>45712</v>
      </c>
      <c r="C1165" t="s">
        <v>716</v>
      </c>
      <c r="D1165" t="s">
        <v>18</v>
      </c>
      <c r="E1165" t="s">
        <v>24</v>
      </c>
      <c r="F1165" t="s">
        <v>28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1190</v>
      </c>
      <c r="B1166" s="2">
        <v>45717</v>
      </c>
      <c r="C1166" t="s">
        <v>716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1191</v>
      </c>
      <c r="B1167" s="2">
        <v>45742</v>
      </c>
      <c r="C1167" t="s">
        <v>716</v>
      </c>
      <c r="D1167" t="s">
        <v>30</v>
      </c>
      <c r="E1167" t="s">
        <v>32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1192</v>
      </c>
      <c r="B1168" s="2">
        <v>45802</v>
      </c>
      <c r="C1168" t="s">
        <v>716</v>
      </c>
      <c r="D1168" t="s">
        <v>27</v>
      </c>
      <c r="E1168" t="s">
        <v>24</v>
      </c>
      <c r="F1168" t="s">
        <v>28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1193</v>
      </c>
      <c r="B1169" s="2">
        <v>45713</v>
      </c>
      <c r="C1169" t="s">
        <v>716</v>
      </c>
      <c r="D1169" t="s">
        <v>23</v>
      </c>
      <c r="E1169" t="s">
        <v>24</v>
      </c>
      <c r="F1169" t="s">
        <v>34</v>
      </c>
      <c r="G1169" t="s">
        <v>29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1194</v>
      </c>
      <c r="B1170" s="2">
        <v>45739</v>
      </c>
      <c r="C1170" t="s">
        <v>716</v>
      </c>
      <c r="D1170" t="s">
        <v>30</v>
      </c>
      <c r="E1170" t="s">
        <v>24</v>
      </c>
      <c r="F1170" t="s">
        <v>35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1195</v>
      </c>
      <c r="B1171" s="2">
        <v>45768</v>
      </c>
      <c r="C1171" t="s">
        <v>716</v>
      </c>
      <c r="D1171" t="s">
        <v>23</v>
      </c>
      <c r="E1171" t="s">
        <v>24</v>
      </c>
      <c r="F1171" t="s">
        <v>34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1196</v>
      </c>
      <c r="B1172" s="2">
        <v>45798</v>
      </c>
      <c r="C1172" t="s">
        <v>716</v>
      </c>
      <c r="D1172" t="s">
        <v>18</v>
      </c>
      <c r="E1172" t="s">
        <v>24</v>
      </c>
      <c r="F1172" t="s">
        <v>25</v>
      </c>
      <c r="G1172" t="s">
        <v>29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1197</v>
      </c>
      <c r="B1173" s="2">
        <v>45772</v>
      </c>
      <c r="C1173" t="s">
        <v>716</v>
      </c>
      <c r="D1173" t="s">
        <v>18</v>
      </c>
      <c r="E1173" t="s">
        <v>19</v>
      </c>
      <c r="F1173" t="s">
        <v>35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1198</v>
      </c>
      <c r="B1174" s="2">
        <v>45800</v>
      </c>
      <c r="C1174" t="s">
        <v>716</v>
      </c>
      <c r="D1174" t="s">
        <v>23</v>
      </c>
      <c r="E1174" t="s">
        <v>24</v>
      </c>
      <c r="F1174" t="s">
        <v>34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1199</v>
      </c>
      <c r="B1175" s="2">
        <v>45734</v>
      </c>
      <c r="C1175" t="s">
        <v>716</v>
      </c>
      <c r="D1175" t="s">
        <v>30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1200</v>
      </c>
      <c r="B1176" s="2">
        <v>45660</v>
      </c>
      <c r="C1176" t="s">
        <v>716</v>
      </c>
      <c r="D1176" t="s">
        <v>30</v>
      </c>
      <c r="E1176" t="s">
        <v>32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1201</v>
      </c>
      <c r="B1177" s="2">
        <v>45696</v>
      </c>
      <c r="C1177" t="s">
        <v>716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1202</v>
      </c>
      <c r="B1178" s="2">
        <v>45692</v>
      </c>
      <c r="C1178" t="s">
        <v>716</v>
      </c>
      <c r="D1178" t="s">
        <v>27</v>
      </c>
      <c r="F1178" t="s">
        <v>28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1203</v>
      </c>
      <c r="B1179" s="2">
        <v>45673</v>
      </c>
      <c r="C1179" t="s">
        <v>716</v>
      </c>
      <c r="D1179" t="s">
        <v>18</v>
      </c>
      <c r="E1179" t="s">
        <v>24</v>
      </c>
      <c r="F1179" t="s">
        <v>28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1204</v>
      </c>
      <c r="B1180" s="2">
        <v>45751</v>
      </c>
      <c r="C1180" t="s">
        <v>716</v>
      </c>
      <c r="D1180" t="s">
        <v>23</v>
      </c>
      <c r="E1180" t="s">
        <v>19</v>
      </c>
      <c r="F1180" t="s">
        <v>28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1205</v>
      </c>
      <c r="B1181" s="2">
        <v>45680</v>
      </c>
      <c r="C1181" t="s">
        <v>716</v>
      </c>
      <c r="D1181" t="s">
        <v>18</v>
      </c>
      <c r="E1181" t="s">
        <v>19</v>
      </c>
      <c r="F1181" t="s">
        <v>28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1206</v>
      </c>
      <c r="B1182" s="2">
        <v>45738</v>
      </c>
      <c r="C1182" t="s">
        <v>716</v>
      </c>
      <c r="D1182" t="s">
        <v>30</v>
      </c>
      <c r="E1182" t="s">
        <v>19</v>
      </c>
      <c r="F1182" t="s">
        <v>28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1207</v>
      </c>
      <c r="B1183" s="2">
        <v>45690</v>
      </c>
      <c r="C1183" t="s">
        <v>716</v>
      </c>
      <c r="D1183" t="s">
        <v>27</v>
      </c>
      <c r="E1183" t="s">
        <v>32</v>
      </c>
      <c r="F1183" t="s">
        <v>35</v>
      </c>
      <c r="G1183" t="s">
        <v>29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1208</v>
      </c>
      <c r="B1184" s="2">
        <v>45688</v>
      </c>
      <c r="C1184" t="s">
        <v>716</v>
      </c>
      <c r="D1184" t="s">
        <v>18</v>
      </c>
      <c r="E1184" t="s">
        <v>19</v>
      </c>
      <c r="F1184" t="s">
        <v>28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1209</v>
      </c>
      <c r="B1185" s="2">
        <v>45804</v>
      </c>
      <c r="C1185" t="s">
        <v>716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1210</v>
      </c>
      <c r="B1186" s="2">
        <v>45784</v>
      </c>
      <c r="C1186" t="s">
        <v>716</v>
      </c>
      <c r="D1186" t="s">
        <v>18</v>
      </c>
      <c r="E1186" t="s">
        <v>24</v>
      </c>
      <c r="F1186" t="s">
        <v>25</v>
      </c>
      <c r="G1186" t="s">
        <v>29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1211</v>
      </c>
      <c r="B1187" s="2">
        <v>45785</v>
      </c>
      <c r="C1187" t="s">
        <v>716</v>
      </c>
      <c r="D1187" t="s">
        <v>18</v>
      </c>
      <c r="E1187" t="s">
        <v>19</v>
      </c>
      <c r="F1187" t="s">
        <v>28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1212</v>
      </c>
      <c r="B1188" s="2">
        <v>45672</v>
      </c>
      <c r="C1188" t="s">
        <v>716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1213</v>
      </c>
      <c r="B1189" s="2">
        <v>45675</v>
      </c>
      <c r="C1189" t="s">
        <v>716</v>
      </c>
      <c r="D1189" t="s">
        <v>18</v>
      </c>
      <c r="E1189" t="s">
        <v>24</v>
      </c>
      <c r="F1189" t="s">
        <v>28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1214</v>
      </c>
      <c r="B1190" s="2">
        <v>45763</v>
      </c>
      <c r="C1190" t="s">
        <v>716</v>
      </c>
      <c r="D1190" t="s">
        <v>27</v>
      </c>
      <c r="F1190" t="s">
        <v>34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1215</v>
      </c>
      <c r="B1191" s="2">
        <v>45704</v>
      </c>
      <c r="C1191" t="s">
        <v>716</v>
      </c>
      <c r="D1191" t="s">
        <v>27</v>
      </c>
      <c r="E1191" t="s">
        <v>19</v>
      </c>
      <c r="F1191" t="s">
        <v>28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1216</v>
      </c>
      <c r="B1192" s="2">
        <v>45764</v>
      </c>
      <c r="C1192" t="s">
        <v>716</v>
      </c>
      <c r="D1192" t="s">
        <v>30</v>
      </c>
      <c r="E1192" t="s">
        <v>19</v>
      </c>
      <c r="F1192" t="s">
        <v>34</v>
      </c>
      <c r="G1192" t="s">
        <v>29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1217</v>
      </c>
      <c r="B1193" s="2">
        <v>45777</v>
      </c>
      <c r="C1193" t="s">
        <v>716</v>
      </c>
      <c r="D1193" t="s">
        <v>30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1218</v>
      </c>
      <c r="B1194" s="2">
        <v>45686</v>
      </c>
      <c r="C1194" t="s">
        <v>716</v>
      </c>
      <c r="D1194" t="s">
        <v>23</v>
      </c>
      <c r="E1194" t="s">
        <v>24</v>
      </c>
      <c r="F1194" t="s">
        <v>35</v>
      </c>
      <c r="G1194" t="s">
        <v>29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1219</v>
      </c>
      <c r="B1195" s="2">
        <v>45668</v>
      </c>
      <c r="C1195" t="s">
        <v>716</v>
      </c>
      <c r="D1195" t="s">
        <v>18</v>
      </c>
      <c r="E1195" t="s">
        <v>24</v>
      </c>
      <c r="F1195" t="s">
        <v>35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1220</v>
      </c>
      <c r="B1196" s="2">
        <v>45755</v>
      </c>
      <c r="C1196" t="s">
        <v>716</v>
      </c>
      <c r="D1196" t="s">
        <v>27</v>
      </c>
      <c r="E1196" t="s">
        <v>19</v>
      </c>
      <c r="F1196" t="s">
        <v>28</v>
      </c>
      <c r="G1196" t="s">
        <v>29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1221</v>
      </c>
      <c r="B1197" s="2">
        <v>45710</v>
      </c>
      <c r="C1197" t="s">
        <v>716</v>
      </c>
      <c r="D1197" t="s">
        <v>18</v>
      </c>
      <c r="F1197" t="s">
        <v>35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1222</v>
      </c>
      <c r="B1198" s="2">
        <v>45739</v>
      </c>
      <c r="C1198" t="s">
        <v>716</v>
      </c>
      <c r="D1198" t="s">
        <v>30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1223</v>
      </c>
      <c r="B1199" s="2">
        <v>45800</v>
      </c>
      <c r="C1199" t="s">
        <v>716</v>
      </c>
      <c r="D1199" t="s">
        <v>30</v>
      </c>
      <c r="E1199" t="s">
        <v>32</v>
      </c>
      <c r="F1199" t="s">
        <v>28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1224</v>
      </c>
      <c r="B1200" s="2">
        <v>45774</v>
      </c>
      <c r="C1200" t="s">
        <v>716</v>
      </c>
      <c r="D1200" t="s">
        <v>23</v>
      </c>
      <c r="E1200" t="s">
        <v>24</v>
      </c>
      <c r="F1200" t="s">
        <v>34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1225</v>
      </c>
      <c r="B1201" s="2">
        <v>45803</v>
      </c>
      <c r="C1201" t="s">
        <v>716</v>
      </c>
      <c r="D1201" t="s">
        <v>18</v>
      </c>
      <c r="E1201" t="s">
        <v>24</v>
      </c>
      <c r="F1201" t="s">
        <v>34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1226</v>
      </c>
      <c r="B1202" s="2">
        <v>45722</v>
      </c>
      <c r="C1202" t="s">
        <v>716</v>
      </c>
      <c r="D1202" t="s">
        <v>27</v>
      </c>
      <c r="E1202" t="s">
        <v>24</v>
      </c>
      <c r="F1202" t="s">
        <v>28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1227</v>
      </c>
      <c r="B1203" s="2">
        <v>45750</v>
      </c>
      <c r="C1203" t="s">
        <v>716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1228</v>
      </c>
      <c r="B1204" s="2">
        <v>45689</v>
      </c>
      <c r="C1204" t="s">
        <v>716</v>
      </c>
      <c r="D1204" t="s">
        <v>27</v>
      </c>
      <c r="E1204" t="s">
        <v>19</v>
      </c>
      <c r="F1204" t="s">
        <v>28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1229</v>
      </c>
      <c r="B1205" s="2">
        <v>45778</v>
      </c>
      <c r="C1205" t="s">
        <v>716</v>
      </c>
      <c r="D1205" t="s">
        <v>23</v>
      </c>
      <c r="E1205" t="s">
        <v>24</v>
      </c>
      <c r="F1205" t="s">
        <v>34</v>
      </c>
      <c r="G1205" t="s">
        <v>29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1230</v>
      </c>
      <c r="B1206" s="2">
        <v>45760</v>
      </c>
      <c r="C1206" t="s">
        <v>716</v>
      </c>
      <c r="D1206" t="s">
        <v>18</v>
      </c>
      <c r="E1206" t="s">
        <v>24</v>
      </c>
      <c r="F1206" t="s">
        <v>35</v>
      </c>
      <c r="G1206" t="s">
        <v>29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1231</v>
      </c>
      <c r="B1207" s="2">
        <v>45682</v>
      </c>
      <c r="C1207" t="s">
        <v>716</v>
      </c>
      <c r="D1207" t="s">
        <v>27</v>
      </c>
      <c r="E1207" t="s">
        <v>24</v>
      </c>
      <c r="F1207" t="s">
        <v>35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1232</v>
      </c>
      <c r="B1208" s="2">
        <v>45733</v>
      </c>
      <c r="C1208" t="s">
        <v>716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1233</v>
      </c>
      <c r="B1209" s="2">
        <v>45709</v>
      </c>
      <c r="C1209" t="s">
        <v>716</v>
      </c>
      <c r="D1209" t="s">
        <v>23</v>
      </c>
      <c r="E1209" t="s">
        <v>19</v>
      </c>
      <c r="F1209" t="s">
        <v>35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1234</v>
      </c>
      <c r="B1210" s="2">
        <v>45755</v>
      </c>
      <c r="C1210" t="s">
        <v>716</v>
      </c>
      <c r="D1210" t="s">
        <v>27</v>
      </c>
      <c r="E1210" t="s">
        <v>32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1235</v>
      </c>
      <c r="B1211" s="2">
        <v>45712</v>
      </c>
      <c r="C1211" t="s">
        <v>716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1236</v>
      </c>
      <c r="B1212" s="2">
        <v>45806</v>
      </c>
      <c r="C1212" t="s">
        <v>716</v>
      </c>
      <c r="D1212" t="s">
        <v>30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1237</v>
      </c>
      <c r="B1213" s="2">
        <v>45807</v>
      </c>
      <c r="C1213" t="s">
        <v>716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1238</v>
      </c>
      <c r="B1214" s="2">
        <v>45681</v>
      </c>
      <c r="C1214" t="s">
        <v>716</v>
      </c>
      <c r="D1214" t="s">
        <v>18</v>
      </c>
      <c r="E1214" t="s">
        <v>19</v>
      </c>
      <c r="F1214" t="s">
        <v>25</v>
      </c>
      <c r="G1214" t="s">
        <v>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1239</v>
      </c>
      <c r="B1215" s="2">
        <v>45789</v>
      </c>
      <c r="C1215" t="s">
        <v>716</v>
      </c>
      <c r="D1215" t="s">
        <v>30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1240</v>
      </c>
      <c r="B1216" s="2">
        <v>45744</v>
      </c>
      <c r="C1216" t="s">
        <v>716</v>
      </c>
      <c r="D1216" t="s">
        <v>30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1241</v>
      </c>
      <c r="B1217" s="2">
        <v>45761</v>
      </c>
      <c r="C1217" t="s">
        <v>716</v>
      </c>
      <c r="D1217" t="s">
        <v>18</v>
      </c>
      <c r="E1217" t="s">
        <v>24</v>
      </c>
      <c r="F1217" t="s">
        <v>34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1242</v>
      </c>
      <c r="B1218" s="2">
        <v>45685</v>
      </c>
      <c r="C1218" t="s">
        <v>716</v>
      </c>
      <c r="D1218" t="s">
        <v>27</v>
      </c>
      <c r="E1218" t="s">
        <v>32</v>
      </c>
      <c r="F1218" t="s">
        <v>34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1243</v>
      </c>
      <c r="B1219" s="2">
        <v>45798</v>
      </c>
      <c r="C1219" t="s">
        <v>716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1244</v>
      </c>
      <c r="B1220" s="2">
        <v>45788</v>
      </c>
      <c r="C1220" t="s">
        <v>716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1245</v>
      </c>
      <c r="B1221" s="2">
        <v>45690</v>
      </c>
      <c r="C1221" t="s">
        <v>716</v>
      </c>
      <c r="D1221" t="s">
        <v>30</v>
      </c>
      <c r="E1221" t="s">
        <v>24</v>
      </c>
      <c r="F1221" t="s">
        <v>28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1246</v>
      </c>
      <c r="B1222" s="2">
        <v>45714</v>
      </c>
      <c r="C1222" t="s">
        <v>716</v>
      </c>
      <c r="D1222" t="s">
        <v>18</v>
      </c>
      <c r="E1222" t="s">
        <v>24</v>
      </c>
      <c r="F1222" t="s">
        <v>35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1247</v>
      </c>
      <c r="B1223" s="2">
        <v>45715</v>
      </c>
      <c r="C1223" t="s">
        <v>716</v>
      </c>
      <c r="D1223" t="s">
        <v>30</v>
      </c>
      <c r="E1223" t="s">
        <v>19</v>
      </c>
      <c r="F1223" t="s">
        <v>34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1248</v>
      </c>
      <c r="B1224" s="2">
        <v>45725</v>
      </c>
      <c r="C1224" t="s">
        <v>716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1249</v>
      </c>
      <c r="B1225" s="2">
        <v>45695</v>
      </c>
      <c r="C1225" t="s">
        <v>716</v>
      </c>
      <c r="D1225" t="s">
        <v>18</v>
      </c>
      <c r="E1225" t="s">
        <v>24</v>
      </c>
      <c r="F1225" t="s">
        <v>28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1250</v>
      </c>
      <c r="B1226" s="2">
        <v>45688</v>
      </c>
      <c r="C1226" t="s">
        <v>716</v>
      </c>
      <c r="D1226" t="s">
        <v>23</v>
      </c>
      <c r="E1226" t="s">
        <v>24</v>
      </c>
      <c r="F1226" t="s">
        <v>35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1251</v>
      </c>
      <c r="B1227" s="2">
        <v>45702</v>
      </c>
      <c r="C1227" t="s">
        <v>716</v>
      </c>
      <c r="D1227" t="s">
        <v>18</v>
      </c>
      <c r="E1227" t="s">
        <v>32</v>
      </c>
      <c r="F1227" t="s">
        <v>28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1252</v>
      </c>
      <c r="B1228" s="2">
        <v>45700</v>
      </c>
      <c r="C1228" t="s">
        <v>716</v>
      </c>
      <c r="D1228" t="s">
        <v>30</v>
      </c>
      <c r="E1228" t="s">
        <v>19</v>
      </c>
      <c r="F1228" t="s">
        <v>35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1253</v>
      </c>
      <c r="B1229" s="2">
        <v>45739</v>
      </c>
      <c r="C1229" t="s">
        <v>716</v>
      </c>
      <c r="D1229" t="s">
        <v>27</v>
      </c>
      <c r="F1229" t="s">
        <v>28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1254</v>
      </c>
      <c r="B1230" s="2">
        <v>45734</v>
      </c>
      <c r="C1230" t="s">
        <v>716</v>
      </c>
      <c r="D1230" t="s">
        <v>23</v>
      </c>
      <c r="E1230" t="s">
        <v>24</v>
      </c>
      <c r="F1230" t="s">
        <v>28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1255</v>
      </c>
      <c r="B1231" s="2">
        <v>45794</v>
      </c>
      <c r="C1231" t="s">
        <v>716</v>
      </c>
      <c r="D1231" t="s">
        <v>18</v>
      </c>
      <c r="E1231" t="s">
        <v>24</v>
      </c>
      <c r="F1231" t="s">
        <v>35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1256</v>
      </c>
      <c r="B1232" s="2">
        <v>45742</v>
      </c>
      <c r="C1232" t="s">
        <v>716</v>
      </c>
      <c r="D1232" t="s">
        <v>23</v>
      </c>
      <c r="E1232" t="s">
        <v>19</v>
      </c>
      <c r="F1232" t="s">
        <v>35</v>
      </c>
      <c r="G1232" t="s">
        <v>29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1257</v>
      </c>
      <c r="B1233" s="2">
        <v>45746</v>
      </c>
      <c r="C1233" t="s">
        <v>716</v>
      </c>
      <c r="D1233" t="s">
        <v>27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1258</v>
      </c>
      <c r="B1234" s="2">
        <v>45713</v>
      </c>
      <c r="C1234" t="s">
        <v>716</v>
      </c>
      <c r="D1234" t="s">
        <v>27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1259</v>
      </c>
      <c r="B1235" s="2">
        <v>45717</v>
      </c>
      <c r="C1235" t="s">
        <v>716</v>
      </c>
      <c r="D1235" t="s">
        <v>27</v>
      </c>
      <c r="E1235" t="s">
        <v>19</v>
      </c>
      <c r="F1235" t="s">
        <v>35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1260</v>
      </c>
      <c r="B1236" s="2">
        <v>45804</v>
      </c>
      <c r="C1236" t="s">
        <v>716</v>
      </c>
      <c r="D1236" t="s">
        <v>18</v>
      </c>
      <c r="E1236" t="s">
        <v>24</v>
      </c>
      <c r="F1236" t="s">
        <v>28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1261</v>
      </c>
      <c r="B1237" s="2">
        <v>45693</v>
      </c>
      <c r="C1237" t="s">
        <v>716</v>
      </c>
      <c r="D1237" t="s">
        <v>23</v>
      </c>
      <c r="E1237" t="s">
        <v>24</v>
      </c>
      <c r="G1237" t="s">
        <v>29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1262</v>
      </c>
      <c r="B1238" s="2">
        <v>45682</v>
      </c>
      <c r="C1238" t="s">
        <v>716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1263</v>
      </c>
      <c r="B1239" s="2">
        <v>45757</v>
      </c>
      <c r="C1239" t="s">
        <v>716</v>
      </c>
      <c r="D1239" t="s">
        <v>27</v>
      </c>
      <c r="E1239" t="s">
        <v>24</v>
      </c>
      <c r="F1239" t="s">
        <v>25</v>
      </c>
      <c r="G1239" t="s">
        <v>29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1264</v>
      </c>
      <c r="B1240" s="2">
        <v>45667</v>
      </c>
      <c r="C1240" t="s">
        <v>716</v>
      </c>
      <c r="D1240" t="s">
        <v>27</v>
      </c>
      <c r="E1240" t="s">
        <v>24</v>
      </c>
      <c r="F1240" t="s">
        <v>25</v>
      </c>
      <c r="G1240" t="s">
        <v>29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1265</v>
      </c>
      <c r="B1241" s="2">
        <v>45711</v>
      </c>
      <c r="C1241" t="s">
        <v>716</v>
      </c>
      <c r="D1241" t="s">
        <v>27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1266</v>
      </c>
      <c r="B1242" s="2">
        <v>45800</v>
      </c>
      <c r="C1242" t="s">
        <v>716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1267</v>
      </c>
      <c r="B1243" s="2">
        <v>45724</v>
      </c>
      <c r="C1243" t="s">
        <v>716</v>
      </c>
      <c r="D1243" t="s">
        <v>18</v>
      </c>
      <c r="E1243" t="s">
        <v>32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1268</v>
      </c>
      <c r="B1244" s="2">
        <v>45798</v>
      </c>
      <c r="C1244" t="s">
        <v>716</v>
      </c>
      <c r="D1244" t="s">
        <v>27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1269</v>
      </c>
      <c r="B1245" s="2">
        <v>45769</v>
      </c>
      <c r="C1245" t="s">
        <v>716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1270</v>
      </c>
      <c r="B1246" s="2">
        <v>45763</v>
      </c>
      <c r="C1246" t="s">
        <v>716</v>
      </c>
      <c r="D1246" t="s">
        <v>18</v>
      </c>
      <c r="E1246" t="s">
        <v>24</v>
      </c>
      <c r="F1246" t="s">
        <v>20</v>
      </c>
      <c r="G1246" t="s">
        <v>29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1271</v>
      </c>
      <c r="B1247" s="2">
        <v>45785</v>
      </c>
      <c r="C1247" t="s">
        <v>716</v>
      </c>
      <c r="D1247" t="s">
        <v>18</v>
      </c>
      <c r="E1247" t="s">
        <v>32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1272</v>
      </c>
      <c r="B1248" s="2">
        <v>45799</v>
      </c>
      <c r="C1248" t="s">
        <v>716</v>
      </c>
      <c r="D1248" t="s">
        <v>18</v>
      </c>
      <c r="E1248" t="s">
        <v>24</v>
      </c>
      <c r="F1248" t="s">
        <v>28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1273</v>
      </c>
      <c r="B1249" s="2">
        <v>45737</v>
      </c>
      <c r="C1249" t="s">
        <v>716</v>
      </c>
      <c r="D1249" t="s">
        <v>18</v>
      </c>
      <c r="E1249" t="s">
        <v>24</v>
      </c>
      <c r="F1249" t="s">
        <v>34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1274</v>
      </c>
      <c r="B1250" s="2">
        <v>45738</v>
      </c>
      <c r="C1250" t="s">
        <v>716</v>
      </c>
      <c r="D1250" t="s">
        <v>27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1275</v>
      </c>
      <c r="B1251" s="2">
        <v>45667</v>
      </c>
      <c r="C1251" t="s">
        <v>716</v>
      </c>
      <c r="D1251" t="s">
        <v>23</v>
      </c>
      <c r="E1251" t="s">
        <v>19</v>
      </c>
      <c r="F1251" t="s">
        <v>35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1276</v>
      </c>
      <c r="B1252" s="2">
        <v>45689</v>
      </c>
      <c r="C1252" t="s">
        <v>716</v>
      </c>
      <c r="D1252" t="s">
        <v>27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1277</v>
      </c>
      <c r="B1253" s="2">
        <v>45747</v>
      </c>
      <c r="C1253" t="s">
        <v>716</v>
      </c>
      <c r="D1253" t="s">
        <v>30</v>
      </c>
      <c r="E1253" t="s">
        <v>24</v>
      </c>
      <c r="F1253" t="s">
        <v>28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1278</v>
      </c>
      <c r="B1254" s="2">
        <v>45772</v>
      </c>
      <c r="C1254" t="s">
        <v>716</v>
      </c>
      <c r="D1254" t="s">
        <v>18</v>
      </c>
      <c r="E1254" t="s">
        <v>24</v>
      </c>
      <c r="F1254" t="s">
        <v>28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1279</v>
      </c>
      <c r="B1255" s="2">
        <v>45779</v>
      </c>
      <c r="C1255" t="s">
        <v>716</v>
      </c>
      <c r="D1255" t="s">
        <v>23</v>
      </c>
      <c r="E1255" t="s">
        <v>24</v>
      </c>
      <c r="F1255" t="s">
        <v>35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1280</v>
      </c>
      <c r="B1256" s="2">
        <v>45724</v>
      </c>
      <c r="C1256" t="s">
        <v>716</v>
      </c>
      <c r="D1256" t="s">
        <v>30</v>
      </c>
      <c r="E1256" t="s">
        <v>19</v>
      </c>
      <c r="F1256" t="s">
        <v>35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1281</v>
      </c>
      <c r="B1257" s="2">
        <v>45684</v>
      </c>
      <c r="C1257" t="s">
        <v>716</v>
      </c>
      <c r="D1257" t="s">
        <v>27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1282</v>
      </c>
      <c r="B1258" s="2">
        <v>45774</v>
      </c>
      <c r="C1258" t="s">
        <v>716</v>
      </c>
      <c r="D1258" t="s">
        <v>23</v>
      </c>
      <c r="E1258" t="s">
        <v>24</v>
      </c>
      <c r="F1258" t="s">
        <v>28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1283</v>
      </c>
      <c r="B1259" s="2">
        <v>45673</v>
      </c>
      <c r="C1259" t="s">
        <v>716</v>
      </c>
      <c r="D1259" t="s">
        <v>23</v>
      </c>
      <c r="E1259" t="s">
        <v>19</v>
      </c>
      <c r="F1259" t="s">
        <v>28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1284</v>
      </c>
      <c r="B1260" s="2">
        <v>45675</v>
      </c>
      <c r="C1260" t="s">
        <v>716</v>
      </c>
      <c r="D1260" t="s">
        <v>23</v>
      </c>
      <c r="E1260" t="s">
        <v>19</v>
      </c>
      <c r="F1260" t="s">
        <v>28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1285</v>
      </c>
      <c r="B1261" s="2">
        <v>45737</v>
      </c>
      <c r="C1261" t="s">
        <v>716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1286</v>
      </c>
      <c r="B1262" s="2">
        <v>45749</v>
      </c>
      <c r="C1262" t="s">
        <v>716</v>
      </c>
      <c r="D1262" t="s">
        <v>18</v>
      </c>
      <c r="E1262" t="s">
        <v>19</v>
      </c>
      <c r="F1262" t="s">
        <v>28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1287</v>
      </c>
      <c r="B1263" s="2">
        <v>45704</v>
      </c>
      <c r="C1263" t="s">
        <v>716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1288</v>
      </c>
      <c r="B1264" s="2">
        <v>45706</v>
      </c>
      <c r="C1264" t="s">
        <v>716</v>
      </c>
      <c r="D1264" t="s">
        <v>18</v>
      </c>
      <c r="E1264" t="s">
        <v>24</v>
      </c>
      <c r="F1264" t="s">
        <v>35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1289</v>
      </c>
      <c r="B1265" s="2">
        <v>45666</v>
      </c>
      <c r="C1265" t="s">
        <v>716</v>
      </c>
      <c r="D1265" t="s">
        <v>27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1290</v>
      </c>
      <c r="B1266" s="2">
        <v>45706</v>
      </c>
      <c r="C1266" t="s">
        <v>716</v>
      </c>
      <c r="D1266" t="s">
        <v>18</v>
      </c>
      <c r="E1266" t="s">
        <v>19</v>
      </c>
      <c r="F1266" t="s">
        <v>28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1291</v>
      </c>
      <c r="B1267" s="2">
        <v>45667</v>
      </c>
      <c r="C1267" t="s">
        <v>716</v>
      </c>
      <c r="D1267" t="s">
        <v>27</v>
      </c>
      <c r="E1267" t="s">
        <v>24</v>
      </c>
      <c r="F1267" t="s">
        <v>34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1292</v>
      </c>
      <c r="B1268" s="2">
        <v>45724</v>
      </c>
      <c r="C1268" t="s">
        <v>716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1293</v>
      </c>
      <c r="B1269" s="2">
        <v>45763</v>
      </c>
      <c r="C1269" t="s">
        <v>716</v>
      </c>
      <c r="D1269" t="s">
        <v>27</v>
      </c>
      <c r="E1269" t="s">
        <v>19</v>
      </c>
      <c r="F1269" t="s">
        <v>28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1294</v>
      </c>
      <c r="B1270" s="2">
        <v>45707</v>
      </c>
      <c r="C1270" t="s">
        <v>716</v>
      </c>
      <c r="D1270" t="s">
        <v>23</v>
      </c>
      <c r="E1270" t="s">
        <v>19</v>
      </c>
      <c r="F1270" t="s">
        <v>28</v>
      </c>
      <c r="G1270" t="s">
        <v>29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1295</v>
      </c>
      <c r="B1271" s="2">
        <v>45732</v>
      </c>
      <c r="C1271" t="s">
        <v>716</v>
      </c>
      <c r="D1271" t="s">
        <v>27</v>
      </c>
      <c r="E1271" t="s">
        <v>19</v>
      </c>
      <c r="F1271" t="s">
        <v>35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1296</v>
      </c>
      <c r="B1272" s="2">
        <v>45691</v>
      </c>
      <c r="C1272" t="s">
        <v>716</v>
      </c>
      <c r="D1272" t="s">
        <v>23</v>
      </c>
      <c r="F1272" t="s">
        <v>34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1297</v>
      </c>
      <c r="B1273" s="2">
        <v>45728</v>
      </c>
      <c r="C1273" t="s">
        <v>716</v>
      </c>
      <c r="D1273" t="s">
        <v>23</v>
      </c>
      <c r="E1273" t="s">
        <v>24</v>
      </c>
      <c r="F1273" t="s">
        <v>28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1298</v>
      </c>
      <c r="B1274" s="2">
        <v>45786</v>
      </c>
      <c r="C1274" t="s">
        <v>716</v>
      </c>
      <c r="D1274" t="s">
        <v>23</v>
      </c>
      <c r="E1274" t="s">
        <v>24</v>
      </c>
      <c r="F1274" t="s">
        <v>35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1299</v>
      </c>
      <c r="B1275" s="2">
        <v>45676</v>
      </c>
      <c r="C1275" t="s">
        <v>716</v>
      </c>
      <c r="D1275" t="s">
        <v>30</v>
      </c>
      <c r="E1275" t="s">
        <v>19</v>
      </c>
      <c r="F1275" t="s">
        <v>35</v>
      </c>
      <c r="G1275" t="s">
        <v>29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1300</v>
      </c>
      <c r="B1276" s="2">
        <v>45681</v>
      </c>
      <c r="C1276" t="s">
        <v>716</v>
      </c>
      <c r="D1276" t="s">
        <v>23</v>
      </c>
      <c r="E1276" t="s">
        <v>24</v>
      </c>
      <c r="F1276" t="s">
        <v>34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1301</v>
      </c>
      <c r="B1277" s="2">
        <v>45719</v>
      </c>
      <c r="C1277" t="s">
        <v>716</v>
      </c>
      <c r="D1277" t="s">
        <v>27</v>
      </c>
      <c r="E1277" t="s">
        <v>24</v>
      </c>
      <c r="F1277" t="s">
        <v>34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1302</v>
      </c>
      <c r="B1278" s="2">
        <v>45804</v>
      </c>
      <c r="C1278" t="s">
        <v>716</v>
      </c>
      <c r="D1278" t="s">
        <v>18</v>
      </c>
      <c r="E1278" t="s">
        <v>19</v>
      </c>
      <c r="F1278" t="s">
        <v>34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1303</v>
      </c>
      <c r="B1279" s="2">
        <v>45770</v>
      </c>
      <c r="C1279" t="s">
        <v>716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1304</v>
      </c>
      <c r="B1280" s="2">
        <v>45698</v>
      </c>
      <c r="C1280" t="s">
        <v>716</v>
      </c>
      <c r="D1280" t="s">
        <v>27</v>
      </c>
      <c r="E1280" t="s">
        <v>19</v>
      </c>
      <c r="F1280" t="s">
        <v>35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1305</v>
      </c>
      <c r="B1281" s="2">
        <v>45699</v>
      </c>
      <c r="C1281" t="s">
        <v>716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1306</v>
      </c>
      <c r="B1282" s="2">
        <v>45678</v>
      </c>
      <c r="C1282" t="s">
        <v>716</v>
      </c>
      <c r="D1282" t="s">
        <v>27</v>
      </c>
      <c r="E1282" t="s">
        <v>19</v>
      </c>
      <c r="F1282" t="s">
        <v>28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1307</v>
      </c>
      <c r="B1283" s="2">
        <v>45690</v>
      </c>
      <c r="C1283" t="s">
        <v>716</v>
      </c>
      <c r="D1283" t="s">
        <v>23</v>
      </c>
      <c r="E1283" t="s">
        <v>19</v>
      </c>
      <c r="F1283" t="s">
        <v>35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1308</v>
      </c>
      <c r="B1284" s="2">
        <v>45690</v>
      </c>
      <c r="C1284" t="s">
        <v>716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1309</v>
      </c>
      <c r="B1285" s="2">
        <v>45714</v>
      </c>
      <c r="C1285" t="s">
        <v>716</v>
      </c>
      <c r="D1285" t="s">
        <v>23</v>
      </c>
      <c r="E1285" t="s">
        <v>32</v>
      </c>
      <c r="F1285" t="s">
        <v>35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1310</v>
      </c>
      <c r="B1286" s="2">
        <v>45769</v>
      </c>
      <c r="C1286" t="s">
        <v>716</v>
      </c>
      <c r="D1286" t="s">
        <v>18</v>
      </c>
      <c r="E1286" t="s">
        <v>24</v>
      </c>
      <c r="F1286" t="s">
        <v>35</v>
      </c>
      <c r="G1286" t="s">
        <v>29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1311</v>
      </c>
      <c r="B1287" s="2">
        <v>45727</v>
      </c>
      <c r="C1287" t="s">
        <v>716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1312</v>
      </c>
      <c r="B1288" s="2">
        <v>45785</v>
      </c>
      <c r="C1288" t="s">
        <v>716</v>
      </c>
      <c r="D1288" t="s">
        <v>30</v>
      </c>
      <c r="E1288" t="s">
        <v>24</v>
      </c>
      <c r="F1288" t="s">
        <v>25</v>
      </c>
      <c r="G1288" t="s">
        <v>29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1313</v>
      </c>
      <c r="B1289" s="2">
        <v>45726</v>
      </c>
      <c r="C1289" t="s">
        <v>716</v>
      </c>
      <c r="D1289" t="s">
        <v>27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1314</v>
      </c>
      <c r="B1290" s="2">
        <v>45763</v>
      </c>
      <c r="C1290" t="s">
        <v>716</v>
      </c>
      <c r="D1290" t="s">
        <v>27</v>
      </c>
      <c r="E1290" t="s">
        <v>19</v>
      </c>
      <c r="F1290" t="s">
        <v>28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1315</v>
      </c>
      <c r="B1291" s="2">
        <v>45717</v>
      </c>
      <c r="C1291" t="s">
        <v>716</v>
      </c>
      <c r="D1291" t="s">
        <v>23</v>
      </c>
      <c r="E1291" t="s">
        <v>32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1316</v>
      </c>
      <c r="B1292" s="2">
        <v>45675</v>
      </c>
      <c r="C1292" t="s">
        <v>716</v>
      </c>
      <c r="D1292" t="s">
        <v>30</v>
      </c>
      <c r="E1292" t="s">
        <v>19</v>
      </c>
      <c r="F1292" t="s">
        <v>25</v>
      </c>
      <c r="G1292" t="s">
        <v>29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1317</v>
      </c>
      <c r="B1293" s="2">
        <v>45746</v>
      </c>
      <c r="C1293" t="s">
        <v>716</v>
      </c>
      <c r="D1293" t="s">
        <v>18</v>
      </c>
      <c r="E1293" t="s">
        <v>24</v>
      </c>
      <c r="F1293" t="s">
        <v>28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1318</v>
      </c>
      <c r="B1294" s="2">
        <v>45803</v>
      </c>
      <c r="C1294" t="s">
        <v>716</v>
      </c>
      <c r="D1294" t="s">
        <v>23</v>
      </c>
      <c r="E1294" t="s">
        <v>24</v>
      </c>
      <c r="F1294" t="s">
        <v>35</v>
      </c>
      <c r="G1294" t="s">
        <v>29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1319</v>
      </c>
      <c r="B1295" s="2">
        <v>45735</v>
      </c>
      <c r="C1295" t="s">
        <v>716</v>
      </c>
      <c r="D1295" t="s">
        <v>27</v>
      </c>
      <c r="E1295" t="s">
        <v>19</v>
      </c>
      <c r="F1295" t="s">
        <v>35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1320</v>
      </c>
      <c r="B1296" s="2">
        <v>45744</v>
      </c>
      <c r="C1296" t="s">
        <v>716</v>
      </c>
      <c r="D1296" t="s">
        <v>18</v>
      </c>
      <c r="E1296" t="s">
        <v>19</v>
      </c>
      <c r="F1296" t="s">
        <v>34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1321</v>
      </c>
      <c r="B1297" s="2">
        <v>45805</v>
      </c>
      <c r="C1297" t="s">
        <v>716</v>
      </c>
      <c r="D1297" t="s">
        <v>30</v>
      </c>
      <c r="E1297" t="s">
        <v>19</v>
      </c>
      <c r="F1297" t="s">
        <v>35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1322</v>
      </c>
      <c r="B1298" s="2">
        <v>45808</v>
      </c>
      <c r="C1298" t="s">
        <v>716</v>
      </c>
      <c r="D1298" t="s">
        <v>30</v>
      </c>
      <c r="E1298" t="s">
        <v>19</v>
      </c>
      <c r="F1298" t="s">
        <v>34</v>
      </c>
      <c r="G1298" t="s">
        <v>29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1323</v>
      </c>
      <c r="B1299" s="2">
        <v>45787</v>
      </c>
      <c r="C1299" t="s">
        <v>716</v>
      </c>
      <c r="D1299" t="s">
        <v>18</v>
      </c>
      <c r="E1299" t="s">
        <v>24</v>
      </c>
      <c r="F1299" t="s">
        <v>34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1324</v>
      </c>
      <c r="B1300" s="2">
        <v>45794</v>
      </c>
      <c r="C1300" t="s">
        <v>716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1325</v>
      </c>
      <c r="B1301" s="2">
        <v>45675</v>
      </c>
      <c r="C1301" t="s">
        <v>716</v>
      </c>
      <c r="D1301" t="s">
        <v>30</v>
      </c>
      <c r="E1301" t="s">
        <v>24</v>
      </c>
      <c r="F1301" t="s">
        <v>25</v>
      </c>
      <c r="G1301" t="s">
        <v>29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1326</v>
      </c>
      <c r="B1302" s="2">
        <v>45781</v>
      </c>
      <c r="C1302" t="s">
        <v>716</v>
      </c>
      <c r="D1302" t="s">
        <v>23</v>
      </c>
      <c r="E1302" t="s">
        <v>24</v>
      </c>
      <c r="F1302" t="s">
        <v>35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1327</v>
      </c>
      <c r="B1303" s="2">
        <v>45741</v>
      </c>
      <c r="C1303" t="s">
        <v>716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1328</v>
      </c>
      <c r="B1304" s="2">
        <v>45715</v>
      </c>
      <c r="C1304" t="s">
        <v>716</v>
      </c>
      <c r="D1304" t="s">
        <v>18</v>
      </c>
      <c r="E1304" t="s">
        <v>24</v>
      </c>
      <c r="F1304" t="s">
        <v>35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1329</v>
      </c>
      <c r="B1305" s="2">
        <v>45671</v>
      </c>
      <c r="C1305" t="s">
        <v>716</v>
      </c>
      <c r="D1305" t="s">
        <v>23</v>
      </c>
      <c r="E1305" t="s">
        <v>24</v>
      </c>
      <c r="F1305" t="s">
        <v>28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1330</v>
      </c>
      <c r="B1306" s="2">
        <v>45758</v>
      </c>
      <c r="C1306" t="s">
        <v>716</v>
      </c>
      <c r="D1306" t="s">
        <v>27</v>
      </c>
      <c r="E1306" t="s">
        <v>24</v>
      </c>
      <c r="F1306" t="s">
        <v>35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1331</v>
      </c>
      <c r="B1307" s="2">
        <v>45742</v>
      </c>
      <c r="C1307" t="s">
        <v>716</v>
      </c>
      <c r="D1307" t="s">
        <v>27</v>
      </c>
      <c r="E1307" t="s">
        <v>19</v>
      </c>
      <c r="F1307" t="s">
        <v>35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1332</v>
      </c>
      <c r="B1308" s="2">
        <v>45700</v>
      </c>
      <c r="C1308" t="s">
        <v>716</v>
      </c>
      <c r="D1308" t="s">
        <v>23</v>
      </c>
      <c r="E1308" t="s">
        <v>19</v>
      </c>
      <c r="F1308" t="s">
        <v>35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1333</v>
      </c>
      <c r="B1309" s="2">
        <v>45706</v>
      </c>
      <c r="C1309" t="s">
        <v>716</v>
      </c>
      <c r="D1309" t="s">
        <v>23</v>
      </c>
      <c r="E1309" t="s">
        <v>32</v>
      </c>
      <c r="F1309" t="s">
        <v>28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1334</v>
      </c>
      <c r="B1310" s="2">
        <v>45802</v>
      </c>
      <c r="C1310" t="s">
        <v>716</v>
      </c>
      <c r="D1310" t="s">
        <v>27</v>
      </c>
      <c r="E1310" t="s">
        <v>19</v>
      </c>
      <c r="F1310" t="s">
        <v>35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1335</v>
      </c>
      <c r="B1311" s="2">
        <v>45800</v>
      </c>
      <c r="C1311" t="s">
        <v>716</v>
      </c>
      <c r="D1311" t="s">
        <v>27</v>
      </c>
      <c r="E1311" t="s">
        <v>19</v>
      </c>
      <c r="F1311" t="s">
        <v>28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1336</v>
      </c>
      <c r="B1312" s="2">
        <v>45673</v>
      </c>
      <c r="C1312" t="s">
        <v>716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1337</v>
      </c>
      <c r="B1313" s="2">
        <v>45676</v>
      </c>
      <c r="C1313" t="s">
        <v>716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1338</v>
      </c>
      <c r="B1314" s="2">
        <v>45795</v>
      </c>
      <c r="C1314" t="s">
        <v>716</v>
      </c>
      <c r="D1314" t="s">
        <v>30</v>
      </c>
      <c r="E1314" t="s">
        <v>24</v>
      </c>
      <c r="F1314" t="s">
        <v>34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1339</v>
      </c>
      <c r="B1315" s="2">
        <v>45680</v>
      </c>
      <c r="C1315" t="s">
        <v>716</v>
      </c>
      <c r="D1315" t="s">
        <v>27</v>
      </c>
      <c r="E1315" t="s">
        <v>32</v>
      </c>
      <c r="F1315" t="s">
        <v>35</v>
      </c>
      <c r="G1315" t="s">
        <v>29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1340</v>
      </c>
      <c r="B1316" s="2">
        <v>45665</v>
      </c>
      <c r="C1316" t="s">
        <v>716</v>
      </c>
      <c r="D1316" t="s">
        <v>27</v>
      </c>
      <c r="E1316" t="s">
        <v>32</v>
      </c>
      <c r="G1316" t="s">
        <v>29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1341</v>
      </c>
      <c r="B1317" s="2">
        <v>45707</v>
      </c>
      <c r="C1317" t="s">
        <v>716</v>
      </c>
      <c r="D1317" t="s">
        <v>18</v>
      </c>
      <c r="E1317" t="s">
        <v>24</v>
      </c>
      <c r="F1317" t="s">
        <v>25</v>
      </c>
      <c r="G1317" t="s">
        <v>29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1342</v>
      </c>
      <c r="B1318" s="2">
        <v>45698</v>
      </c>
      <c r="C1318" t="s">
        <v>716</v>
      </c>
      <c r="D1318" t="s">
        <v>30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1343</v>
      </c>
      <c r="B1319" s="2">
        <v>45760</v>
      </c>
      <c r="C1319" t="s">
        <v>716</v>
      </c>
      <c r="D1319" t="s">
        <v>30</v>
      </c>
      <c r="E1319" t="s">
        <v>24</v>
      </c>
      <c r="F1319" t="s">
        <v>28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1344</v>
      </c>
      <c r="B1320" s="2">
        <v>45797</v>
      </c>
      <c r="C1320" t="s">
        <v>716</v>
      </c>
      <c r="D1320" t="s">
        <v>27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1345</v>
      </c>
      <c r="B1321" s="2">
        <v>45790</v>
      </c>
      <c r="C1321" t="s">
        <v>716</v>
      </c>
      <c r="D1321" t="s">
        <v>30</v>
      </c>
      <c r="E1321" t="s">
        <v>24</v>
      </c>
      <c r="F1321" t="s">
        <v>28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1346</v>
      </c>
      <c r="B1322" s="2">
        <v>45805</v>
      </c>
      <c r="C1322" t="s">
        <v>716</v>
      </c>
      <c r="D1322" t="s">
        <v>30</v>
      </c>
      <c r="E1322" t="s">
        <v>19</v>
      </c>
      <c r="F1322" t="s">
        <v>28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1347</v>
      </c>
      <c r="B1323" s="2">
        <v>45735</v>
      </c>
      <c r="C1323" t="s">
        <v>716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1348</v>
      </c>
      <c r="B1324" s="2">
        <v>45691</v>
      </c>
      <c r="C1324" t="s">
        <v>716</v>
      </c>
      <c r="D1324" t="s">
        <v>18</v>
      </c>
      <c r="E1324" t="s">
        <v>24</v>
      </c>
      <c r="F1324" t="s">
        <v>20</v>
      </c>
      <c r="G1324" t="s">
        <v>29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1349</v>
      </c>
      <c r="B1325" s="2">
        <v>45714</v>
      </c>
      <c r="C1325" t="s">
        <v>716</v>
      </c>
      <c r="D1325" t="s">
        <v>30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1350</v>
      </c>
      <c r="B1326" s="2">
        <v>45683</v>
      </c>
      <c r="C1326" t="s">
        <v>716</v>
      </c>
      <c r="D1326" t="s">
        <v>23</v>
      </c>
      <c r="E1326" t="s">
        <v>24</v>
      </c>
      <c r="F1326" t="s">
        <v>28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1351</v>
      </c>
      <c r="B1327" s="2">
        <v>45790</v>
      </c>
      <c r="C1327" t="s">
        <v>716</v>
      </c>
      <c r="D1327" t="s">
        <v>18</v>
      </c>
      <c r="E1327" t="s">
        <v>24</v>
      </c>
      <c r="F1327" t="s">
        <v>25</v>
      </c>
      <c r="G1327" t="s">
        <v>29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1352</v>
      </c>
      <c r="B1328" s="2">
        <v>45690</v>
      </c>
      <c r="C1328" t="s">
        <v>716</v>
      </c>
      <c r="D1328" t="s">
        <v>30</v>
      </c>
      <c r="E1328" t="s">
        <v>24</v>
      </c>
      <c r="F1328" t="s">
        <v>28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1353</v>
      </c>
      <c r="B1329" s="2">
        <v>45777</v>
      </c>
      <c r="C1329" t="s">
        <v>716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1354</v>
      </c>
      <c r="B1330" s="2">
        <v>45745</v>
      </c>
      <c r="C1330" t="s">
        <v>716</v>
      </c>
      <c r="D1330" t="s">
        <v>27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1355</v>
      </c>
      <c r="B1331" s="2">
        <v>45756</v>
      </c>
      <c r="C1331" t="s">
        <v>716</v>
      </c>
      <c r="D1331" t="s">
        <v>23</v>
      </c>
      <c r="E1331" t="s">
        <v>19</v>
      </c>
      <c r="F1331" t="s">
        <v>34</v>
      </c>
      <c r="G1331" t="s">
        <v>29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1356</v>
      </c>
      <c r="B1332" s="2">
        <v>45679</v>
      </c>
      <c r="C1332" t="s">
        <v>716</v>
      </c>
      <c r="D1332" t="s">
        <v>30</v>
      </c>
      <c r="E1332" t="s">
        <v>32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1357</v>
      </c>
      <c r="B1333" s="2">
        <v>45684</v>
      </c>
      <c r="C1333" t="s">
        <v>716</v>
      </c>
      <c r="D1333" t="s">
        <v>30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1358</v>
      </c>
      <c r="B1334" s="2">
        <v>45679</v>
      </c>
      <c r="C1334" t="s">
        <v>716</v>
      </c>
      <c r="D1334" t="s">
        <v>27</v>
      </c>
      <c r="E1334" t="s">
        <v>24</v>
      </c>
      <c r="F1334" t="s">
        <v>35</v>
      </c>
      <c r="G1334" t="s">
        <v>29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1359</v>
      </c>
      <c r="B1335" s="2">
        <v>45663</v>
      </c>
      <c r="C1335" t="s">
        <v>716</v>
      </c>
      <c r="D1335" t="s">
        <v>23</v>
      </c>
      <c r="E1335" t="s">
        <v>19</v>
      </c>
      <c r="F1335" t="s">
        <v>28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1360</v>
      </c>
      <c r="B1336" s="2">
        <v>45763</v>
      </c>
      <c r="C1336" t="s">
        <v>716</v>
      </c>
      <c r="D1336" t="s">
        <v>30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1361</v>
      </c>
      <c r="B1337" s="2">
        <v>45761</v>
      </c>
      <c r="C1337" t="s">
        <v>716</v>
      </c>
      <c r="D1337" t="s">
        <v>30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1362</v>
      </c>
      <c r="B1338" s="2">
        <v>45710</v>
      </c>
      <c r="C1338" t="s">
        <v>716</v>
      </c>
      <c r="D1338" t="s">
        <v>23</v>
      </c>
      <c r="E1338" t="s">
        <v>24</v>
      </c>
      <c r="F1338" t="s">
        <v>28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1363</v>
      </c>
      <c r="B1339" s="2">
        <v>45725</v>
      </c>
      <c r="C1339" t="s">
        <v>716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1364</v>
      </c>
      <c r="B1340" s="2">
        <v>45767</v>
      </c>
      <c r="C1340" t="s">
        <v>716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1365</v>
      </c>
      <c r="B1341" s="2">
        <v>45726</v>
      </c>
      <c r="C1341" t="s">
        <v>716</v>
      </c>
      <c r="D1341" t="s">
        <v>30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1366</v>
      </c>
      <c r="B1342" s="2">
        <v>45709</v>
      </c>
      <c r="C1342" t="s">
        <v>716</v>
      </c>
      <c r="D1342" t="s">
        <v>30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1367</v>
      </c>
      <c r="B1343" s="2">
        <v>45663</v>
      </c>
      <c r="C1343" t="s">
        <v>716</v>
      </c>
      <c r="D1343" t="s">
        <v>18</v>
      </c>
      <c r="E1343" t="s">
        <v>19</v>
      </c>
      <c r="F1343" t="s">
        <v>35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1368</v>
      </c>
      <c r="B1344" s="2">
        <v>45764</v>
      </c>
      <c r="C1344" t="s">
        <v>716</v>
      </c>
      <c r="D1344" t="s">
        <v>30</v>
      </c>
      <c r="E1344" t="s">
        <v>24</v>
      </c>
      <c r="F1344" t="s">
        <v>25</v>
      </c>
      <c r="G1344" t="s">
        <v>29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1369</v>
      </c>
      <c r="B1345" s="2">
        <v>45800</v>
      </c>
      <c r="C1345" t="s">
        <v>716</v>
      </c>
      <c r="D1345" t="s">
        <v>30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1370</v>
      </c>
      <c r="B1346" s="2">
        <v>45730</v>
      </c>
      <c r="C1346" t="s">
        <v>716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1371</v>
      </c>
      <c r="B1347" s="2">
        <v>45768</v>
      </c>
      <c r="C1347" t="s">
        <v>716</v>
      </c>
      <c r="D1347" t="s">
        <v>18</v>
      </c>
      <c r="E1347" t="s">
        <v>24</v>
      </c>
      <c r="F1347" t="s">
        <v>35</v>
      </c>
      <c r="G1347" t="s">
        <v>29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1372</v>
      </c>
      <c r="B1348" s="2">
        <v>45660</v>
      </c>
      <c r="C1348" t="s">
        <v>716</v>
      </c>
      <c r="D1348" t="s">
        <v>30</v>
      </c>
      <c r="E1348" t="s">
        <v>24</v>
      </c>
      <c r="F1348" t="s">
        <v>35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1373</v>
      </c>
      <c r="B1349" s="2">
        <v>45786</v>
      </c>
      <c r="C1349" t="s">
        <v>716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1374</v>
      </c>
      <c r="B1350" s="2">
        <v>45799</v>
      </c>
      <c r="C1350" t="s">
        <v>716</v>
      </c>
      <c r="D1350" t="s">
        <v>30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1375</v>
      </c>
      <c r="B1351" s="2">
        <v>45784</v>
      </c>
      <c r="C1351" t="s">
        <v>716</v>
      </c>
      <c r="D1351" t="s">
        <v>30</v>
      </c>
      <c r="E1351" t="s">
        <v>19</v>
      </c>
      <c r="F1351" t="s">
        <v>28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1376</v>
      </c>
      <c r="B1352" s="2">
        <v>45696</v>
      </c>
      <c r="C1352" t="s">
        <v>716</v>
      </c>
      <c r="D1352" t="s">
        <v>27</v>
      </c>
      <c r="E1352" t="s">
        <v>24</v>
      </c>
      <c r="F1352" t="s">
        <v>35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1377</v>
      </c>
      <c r="B1353" s="2">
        <v>45750</v>
      </c>
      <c r="C1353" t="s">
        <v>716</v>
      </c>
      <c r="D1353" t="s">
        <v>18</v>
      </c>
      <c r="E1353" t="s">
        <v>32</v>
      </c>
      <c r="F1353" t="s">
        <v>35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1378</v>
      </c>
      <c r="B1354" s="2">
        <v>45764</v>
      </c>
      <c r="C1354" t="s">
        <v>716</v>
      </c>
      <c r="D1354" t="s">
        <v>27</v>
      </c>
      <c r="E1354" t="s">
        <v>19</v>
      </c>
      <c r="F1354" t="s">
        <v>28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1379</v>
      </c>
      <c r="B1355" s="2">
        <v>45781</v>
      </c>
      <c r="C1355" t="s">
        <v>716</v>
      </c>
      <c r="D1355" t="s">
        <v>27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1380</v>
      </c>
      <c r="B1356" s="2">
        <v>45788</v>
      </c>
      <c r="C1356" t="s">
        <v>716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1381</v>
      </c>
      <c r="B1357" s="2">
        <v>45717</v>
      </c>
      <c r="C1357" t="s">
        <v>716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1382</v>
      </c>
      <c r="B1358" s="2">
        <v>45708</v>
      </c>
      <c r="C1358" t="s">
        <v>716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1383</v>
      </c>
      <c r="B1359" s="2">
        <v>45786</v>
      </c>
      <c r="C1359" t="s">
        <v>716</v>
      </c>
      <c r="D1359" t="s">
        <v>23</v>
      </c>
      <c r="E1359" t="s">
        <v>24</v>
      </c>
      <c r="F1359" t="s">
        <v>35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1384</v>
      </c>
      <c r="B1360" s="2">
        <v>45777</v>
      </c>
      <c r="C1360" t="s">
        <v>716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1385</v>
      </c>
      <c r="B1361" s="2">
        <v>45664</v>
      </c>
      <c r="C1361" t="s">
        <v>716</v>
      </c>
      <c r="D1361" t="s">
        <v>30</v>
      </c>
      <c r="E1361" t="s">
        <v>24</v>
      </c>
      <c r="F1361" t="s">
        <v>35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1386</v>
      </c>
      <c r="B1362" s="2">
        <v>45777</v>
      </c>
      <c r="C1362" t="s">
        <v>716</v>
      </c>
      <c r="D1362" t="s">
        <v>18</v>
      </c>
      <c r="E1362" t="s">
        <v>24</v>
      </c>
      <c r="F1362" t="s">
        <v>35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1387</v>
      </c>
      <c r="B1363" s="2">
        <v>45800</v>
      </c>
      <c r="C1363" t="s">
        <v>716</v>
      </c>
      <c r="D1363" t="s">
        <v>27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1388</v>
      </c>
      <c r="B1364" s="2">
        <v>45728</v>
      </c>
      <c r="C1364" t="s">
        <v>716</v>
      </c>
      <c r="D1364" t="s">
        <v>30</v>
      </c>
      <c r="E1364" t="s">
        <v>24</v>
      </c>
      <c r="F1364" t="s">
        <v>28</v>
      </c>
      <c r="G1364" t="s">
        <v>29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1389</v>
      </c>
      <c r="B1365" s="2">
        <v>45705</v>
      </c>
      <c r="C1365" t="s">
        <v>716</v>
      </c>
      <c r="D1365" t="s">
        <v>18</v>
      </c>
      <c r="E1365" t="s">
        <v>24</v>
      </c>
      <c r="F1365" t="s">
        <v>25</v>
      </c>
      <c r="G1365" t="s">
        <v>29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1390</v>
      </c>
      <c r="B1366" s="2">
        <v>45804</v>
      </c>
      <c r="C1366" t="s">
        <v>716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1391</v>
      </c>
      <c r="B1367" s="2">
        <v>45787</v>
      </c>
      <c r="C1367" t="s">
        <v>716</v>
      </c>
      <c r="D1367" t="s">
        <v>30</v>
      </c>
      <c r="E1367" t="s">
        <v>24</v>
      </c>
      <c r="F1367" t="s">
        <v>35</v>
      </c>
      <c r="G1367" t="s">
        <v>29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1392</v>
      </c>
      <c r="B1368" s="2">
        <v>45677</v>
      </c>
      <c r="C1368" t="s">
        <v>716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1393</v>
      </c>
      <c r="B1369" s="2">
        <v>45676</v>
      </c>
      <c r="C1369" t="s">
        <v>716</v>
      </c>
      <c r="D1369" t="s">
        <v>27</v>
      </c>
      <c r="E1369" t="s">
        <v>24</v>
      </c>
      <c r="F1369" t="s">
        <v>34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1394</v>
      </c>
      <c r="B1370" s="2">
        <v>45723</v>
      </c>
      <c r="C1370" t="s">
        <v>716</v>
      </c>
      <c r="D1370" t="s">
        <v>23</v>
      </c>
      <c r="E1370" t="s">
        <v>19</v>
      </c>
      <c r="F1370" t="s">
        <v>28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1395</v>
      </c>
      <c r="B1371" s="2">
        <v>45690</v>
      </c>
      <c r="C1371" t="s">
        <v>716</v>
      </c>
      <c r="D1371" t="s">
        <v>27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1396</v>
      </c>
      <c r="B1372" s="2">
        <v>45723</v>
      </c>
      <c r="C1372" t="s">
        <v>716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1397</v>
      </c>
      <c r="B1373" s="2">
        <v>45746</v>
      </c>
      <c r="C1373" t="s">
        <v>716</v>
      </c>
      <c r="D1373" t="s">
        <v>27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1398</v>
      </c>
      <c r="B1374" s="2">
        <v>45782</v>
      </c>
      <c r="C1374" t="s">
        <v>716</v>
      </c>
      <c r="D1374" t="s">
        <v>27</v>
      </c>
      <c r="E1374" t="s">
        <v>19</v>
      </c>
      <c r="F1374" t="s">
        <v>28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1399</v>
      </c>
      <c r="B1375" s="2">
        <v>45758</v>
      </c>
      <c r="C1375" t="s">
        <v>716</v>
      </c>
      <c r="D1375" t="s">
        <v>30</v>
      </c>
      <c r="E1375" t="s">
        <v>24</v>
      </c>
      <c r="F1375" t="s">
        <v>35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1400</v>
      </c>
      <c r="B1376" s="2">
        <v>45741</v>
      </c>
      <c r="C1376" t="s">
        <v>716</v>
      </c>
      <c r="D1376" t="s">
        <v>23</v>
      </c>
      <c r="E1376" t="s">
        <v>19</v>
      </c>
      <c r="F1376" t="s">
        <v>20</v>
      </c>
      <c r="G1376" t="s">
        <v>29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1401</v>
      </c>
      <c r="B1377" s="2">
        <v>45740</v>
      </c>
      <c r="C1377" t="s">
        <v>716</v>
      </c>
      <c r="D1377" t="s">
        <v>18</v>
      </c>
      <c r="E1377" t="s">
        <v>24</v>
      </c>
      <c r="F1377" t="s">
        <v>25</v>
      </c>
      <c r="G1377" t="s">
        <v>29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1402</v>
      </c>
      <c r="B1378" s="2">
        <v>45774</v>
      </c>
      <c r="C1378" t="s">
        <v>716</v>
      </c>
      <c r="D1378" t="s">
        <v>27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1403</v>
      </c>
      <c r="B1379" s="2">
        <v>45682</v>
      </c>
      <c r="C1379" t="s">
        <v>716</v>
      </c>
      <c r="D1379" t="s">
        <v>18</v>
      </c>
      <c r="E1379" t="s">
        <v>19</v>
      </c>
      <c r="F1379" t="s">
        <v>28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1404</v>
      </c>
      <c r="B1380" s="2">
        <v>45705</v>
      </c>
      <c r="C1380" t="s">
        <v>716</v>
      </c>
      <c r="D1380" t="s">
        <v>18</v>
      </c>
      <c r="E1380" t="s">
        <v>32</v>
      </c>
      <c r="F1380" t="s">
        <v>35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1405</v>
      </c>
      <c r="B1381" s="2">
        <v>45760</v>
      </c>
      <c r="C1381" t="s">
        <v>716</v>
      </c>
      <c r="D1381" t="s">
        <v>30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1406</v>
      </c>
      <c r="B1382" s="2">
        <v>45780</v>
      </c>
      <c r="C1382" t="s">
        <v>716</v>
      </c>
      <c r="D1382" t="s">
        <v>23</v>
      </c>
      <c r="E1382" t="s">
        <v>19</v>
      </c>
      <c r="F1382" t="s">
        <v>28</v>
      </c>
      <c r="G1382" t="s">
        <v>29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1407</v>
      </c>
      <c r="B1383" s="2">
        <v>45776</v>
      </c>
      <c r="C1383" t="s">
        <v>716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1408</v>
      </c>
      <c r="B1384" s="2">
        <v>45780</v>
      </c>
      <c r="C1384" t="s">
        <v>716</v>
      </c>
      <c r="D1384" t="s">
        <v>27</v>
      </c>
      <c r="E1384" t="s">
        <v>19</v>
      </c>
      <c r="F1384" t="s">
        <v>28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1409</v>
      </c>
      <c r="B1385" s="2">
        <v>45775</v>
      </c>
      <c r="C1385" t="s">
        <v>716</v>
      </c>
      <c r="D1385" t="s">
        <v>23</v>
      </c>
      <c r="E1385" t="s">
        <v>24</v>
      </c>
      <c r="F1385" t="s">
        <v>28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1410</v>
      </c>
      <c r="B1386" s="2">
        <v>45678</v>
      </c>
      <c r="C1386" t="s">
        <v>716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1411</v>
      </c>
      <c r="B1387" s="2">
        <v>45678</v>
      </c>
      <c r="C1387" t="s">
        <v>716</v>
      </c>
      <c r="D1387" t="s">
        <v>18</v>
      </c>
      <c r="E1387" t="s">
        <v>32</v>
      </c>
      <c r="F1387" t="s">
        <v>28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1412</v>
      </c>
      <c r="B1388" s="2">
        <v>45798</v>
      </c>
      <c r="C1388" t="s">
        <v>716</v>
      </c>
      <c r="D1388" t="s">
        <v>23</v>
      </c>
      <c r="E1388" t="s">
        <v>19</v>
      </c>
      <c r="F1388" t="s">
        <v>28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1413</v>
      </c>
      <c r="B1389" s="2">
        <v>45662</v>
      </c>
      <c r="C1389" t="s">
        <v>716</v>
      </c>
      <c r="D1389" t="s">
        <v>18</v>
      </c>
      <c r="E1389" t="s">
        <v>24</v>
      </c>
      <c r="F1389" t="s">
        <v>34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1414</v>
      </c>
      <c r="B1390" s="2">
        <v>45722</v>
      </c>
      <c r="C1390" t="s">
        <v>716</v>
      </c>
      <c r="D1390" t="s">
        <v>30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1415</v>
      </c>
      <c r="B1391" s="2">
        <v>45765</v>
      </c>
      <c r="C1391" t="s">
        <v>716</v>
      </c>
      <c r="D1391" t="s">
        <v>18</v>
      </c>
      <c r="E1391" t="s">
        <v>24</v>
      </c>
      <c r="F1391" t="s">
        <v>28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1416</v>
      </c>
      <c r="B1392" s="2">
        <v>45762</v>
      </c>
      <c r="C1392" t="s">
        <v>716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1417</v>
      </c>
      <c r="B1393" s="2">
        <v>45698</v>
      </c>
      <c r="C1393" t="s">
        <v>716</v>
      </c>
      <c r="D1393" t="s">
        <v>27</v>
      </c>
      <c r="E1393" t="s">
        <v>24</v>
      </c>
      <c r="F1393" t="s">
        <v>28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1418</v>
      </c>
      <c r="B1394" s="2">
        <v>45785</v>
      </c>
      <c r="C1394" t="s">
        <v>716</v>
      </c>
      <c r="D1394" t="s">
        <v>27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1419</v>
      </c>
      <c r="B1395" s="2">
        <v>45805</v>
      </c>
      <c r="C1395" t="s">
        <v>716</v>
      </c>
      <c r="D1395" t="s">
        <v>27</v>
      </c>
      <c r="E1395" t="s">
        <v>32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1420</v>
      </c>
      <c r="B1396" s="2">
        <v>45772</v>
      </c>
      <c r="C1396" t="s">
        <v>716</v>
      </c>
      <c r="D1396" t="s">
        <v>18</v>
      </c>
      <c r="E1396" t="s">
        <v>32</v>
      </c>
      <c r="F1396" t="s">
        <v>34</v>
      </c>
      <c r="G1396" t="s">
        <v>29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1421</v>
      </c>
      <c r="B1397" s="2">
        <v>45699</v>
      </c>
      <c r="C1397" t="s">
        <v>716</v>
      </c>
      <c r="D1397" t="s">
        <v>30</v>
      </c>
      <c r="E1397" t="s">
        <v>24</v>
      </c>
      <c r="G1397" t="s">
        <v>29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1422</v>
      </c>
      <c r="B1398" s="2">
        <v>45761</v>
      </c>
      <c r="C1398" t="s">
        <v>716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1423</v>
      </c>
      <c r="B1399" s="2">
        <v>45692</v>
      </c>
      <c r="C1399" t="s">
        <v>716</v>
      </c>
      <c r="D1399" t="s">
        <v>23</v>
      </c>
      <c r="E1399" t="s">
        <v>32</v>
      </c>
      <c r="F1399" t="s">
        <v>25</v>
      </c>
      <c r="G1399" t="s">
        <v>29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1424</v>
      </c>
      <c r="B1400" s="2">
        <v>45738</v>
      </c>
      <c r="C1400" t="s">
        <v>716</v>
      </c>
      <c r="D1400" t="s">
        <v>27</v>
      </c>
      <c r="E1400" t="s">
        <v>24</v>
      </c>
      <c r="F1400" t="s">
        <v>34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1425</v>
      </c>
      <c r="B1401" s="2">
        <v>45765</v>
      </c>
      <c r="C1401" t="s">
        <v>716</v>
      </c>
      <c r="D1401" t="s">
        <v>27</v>
      </c>
      <c r="E1401" t="s">
        <v>19</v>
      </c>
      <c r="F1401" t="s">
        <v>35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353C-6148-4A0A-9AB1-F2A2D316C01E}">
  <dimension ref="A1:E9"/>
  <sheetViews>
    <sheetView tabSelected="1" workbookViewId="0">
      <selection activeCell="D10" sqref="D10"/>
    </sheetView>
  </sheetViews>
  <sheetFormatPr defaultRowHeight="14.5"/>
  <cols>
    <col min="1" max="1" width="17" customWidth="1"/>
    <col min="2" max="2" width="13.08984375" customWidth="1"/>
    <col min="3" max="3" width="14.90625" customWidth="1"/>
    <col min="4" max="4" width="13.7265625" customWidth="1"/>
    <col min="5" max="5" width="22.36328125" customWidth="1"/>
  </cols>
  <sheetData>
    <row r="1" spans="1:5">
      <c r="A1" s="3" t="s">
        <v>1439</v>
      </c>
      <c r="B1" s="3" t="s">
        <v>17</v>
      </c>
      <c r="C1" s="3" t="s">
        <v>716</v>
      </c>
      <c r="D1" s="6" t="s">
        <v>1459</v>
      </c>
      <c r="E1" s="6" t="s">
        <v>1465</v>
      </c>
    </row>
    <row r="2" spans="1:5">
      <c r="A2" s="4" t="s">
        <v>1440</v>
      </c>
      <c r="B2" s="4">
        <v>690</v>
      </c>
      <c r="C2" s="4">
        <f ca="1">COUNTIF('experiment data'!$C:$C,"Treatment")</f>
        <v>710</v>
      </c>
      <c r="D2" t="str">
        <f ca="1">IF(B2&lt;C2,"Control","Treatment")</f>
        <v>Control</v>
      </c>
      <c r="E2" t="s">
        <v>1464</v>
      </c>
    </row>
    <row r="3" spans="1:5" ht="29">
      <c r="A3" s="4" t="s">
        <v>1441</v>
      </c>
      <c r="B3" s="12">
        <f ca="1">COUNTIFS('experiment data'!$C:$C,"Control",'experiment data'!$M:$M,"&gt;0")/COUNTIF('experiment data'!$C:$C,"Control")</f>
        <v>0.14831130690161526</v>
      </c>
      <c r="C3" s="12">
        <f ca="1">COUNTIFS('experiment data'!$C:$C,"Treatment",'experiment data'!$M:$M,"&gt;0")/COUNTIF('experiment data'!$C:$C,"Treatment")</f>
        <v>0.24788732394366197</v>
      </c>
      <c r="D3" t="str">
        <f ca="1">IF(B3&lt;C3,"Control","Treatment")</f>
        <v>Control</v>
      </c>
      <c r="E3" t="s">
        <v>1466</v>
      </c>
    </row>
    <row r="4" spans="1:5" ht="29">
      <c r="A4" s="4" t="s">
        <v>1462</v>
      </c>
      <c r="B4" s="10">
        <f ca="1">AVERAGEIFS('experiment data'!$O:$O,'experiment data'!$C:$C,"Control")</f>
        <v>8.8636363636363633</v>
      </c>
      <c r="C4" s="4">
        <f ca="1">AVERAGEIFS('experiment data'!$O:$O,'experiment data'!$C:$C,"Treatment")</f>
        <v>6.4</v>
      </c>
      <c r="D4" t="str">
        <f ca="1">IF(B4&lt;C4,"Control","Treatment")</f>
        <v>Treatment</v>
      </c>
      <c r="E4" t="s">
        <v>1467</v>
      </c>
    </row>
    <row r="5" spans="1:5" ht="29">
      <c r="A5" s="4" t="s">
        <v>1463</v>
      </c>
      <c r="B5" s="10">
        <f ca="1">AVERAGEIFS('experiment data'!$P:$P,'experiment data'!$C:$C,"Control")</f>
        <v>57.102370370370423</v>
      </c>
      <c r="C5" s="10">
        <f ca="1">AVERAGEIFS('experiment data'!$P:$P,'experiment data'!$C:$C,"Treatment")</f>
        <v>62.940028490028489</v>
      </c>
      <c r="D5" t="str">
        <f ca="1">IF(B5&gt;C5,"Control","Treatment")</f>
        <v>Treatment</v>
      </c>
      <c r="E5" t="s">
        <v>1468</v>
      </c>
    </row>
    <row r="6" spans="1:5" ht="29">
      <c r="A6" s="4" t="s">
        <v>1442</v>
      </c>
      <c r="B6" s="4">
        <f ca="1">AVERAGEIFS('experiment data'!K:K,'experiment data'!C:C,"Control")</f>
        <v>3.2305433186490456E-2</v>
      </c>
      <c r="C6" s="4">
        <f ca="1">AVERAGEIFS('experiment data'!K:K,'experiment data'!C:C,"Treatment")</f>
        <v>7.0422535211267609E-2</v>
      </c>
      <c r="D6" t="str">
        <f ca="1">IF(B6&gt;C6,"Control","Treatment")</f>
        <v>Treatment</v>
      </c>
      <c r="E6" t="s">
        <v>1469</v>
      </c>
    </row>
    <row r="7" spans="1:5">
      <c r="A7" s="4" t="s">
        <v>1443</v>
      </c>
      <c r="B7" s="4">
        <f ca="1">AVERAGEIFS('experiment data'!L:L,'experiment data'!C:C,"Control")</f>
        <v>52.661204111600583</v>
      </c>
      <c r="C7" s="4">
        <f ca="1">AVERAGEIFS('experiment data'!L:L,'experiment data'!C:C,"Treatment")</f>
        <v>54.254521126760551</v>
      </c>
      <c r="D7" t="str">
        <f ca="1">IF(B7&gt;C7,"Control","Treatment")</f>
        <v>Treatment</v>
      </c>
      <c r="E7" t="s">
        <v>1470</v>
      </c>
    </row>
    <row r="8" spans="1:5">
      <c r="C8" s="4"/>
    </row>
    <row r="9" spans="1:5" ht="16">
      <c r="A9" s="9"/>
      <c r="E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4B77F-B3ED-4EB7-9DDA-BB11978C4B4A}">
  <dimension ref="A1:G17"/>
  <sheetViews>
    <sheetView zoomScale="86" workbookViewId="0">
      <selection activeCell="C3" sqref="C3"/>
    </sheetView>
  </sheetViews>
  <sheetFormatPr defaultRowHeight="14.5"/>
  <cols>
    <col min="1" max="1" width="17" customWidth="1"/>
    <col min="2" max="2" width="13.08984375" customWidth="1"/>
    <col min="3" max="3" width="14.90625" customWidth="1"/>
    <col min="4" max="4" width="13.7265625" customWidth="1"/>
    <col min="5" max="5" width="22.36328125" customWidth="1"/>
    <col min="6" max="6" width="23.54296875" customWidth="1"/>
    <col min="7" max="7" width="15" customWidth="1"/>
  </cols>
  <sheetData>
    <row r="1" spans="1:7">
      <c r="A1" s="3" t="s">
        <v>1439</v>
      </c>
      <c r="B1" s="3" t="s">
        <v>17</v>
      </c>
      <c r="C1" s="3" t="s">
        <v>716</v>
      </c>
      <c r="D1" t="s">
        <v>1459</v>
      </c>
      <c r="E1" t="s">
        <v>1465</v>
      </c>
      <c r="F1" s="3" t="s">
        <v>1447</v>
      </c>
      <c r="G1" s="6" t="s">
        <v>1448</v>
      </c>
    </row>
    <row r="2" spans="1:7">
      <c r="A2" s="4" t="s">
        <v>1440</v>
      </c>
      <c r="B2" s="4">
        <f ca="1">COUNTIF('experiment data'!$C:$C,"Control")</f>
        <v>681</v>
      </c>
      <c r="C2" s="4">
        <f ca="1">COUNTIF('experiment data'!$C:$C,"Treatment")</f>
        <v>710</v>
      </c>
      <c r="D2" t="str">
        <f ca="1">IF(B2&lt;C2,"Control","Treatment")</f>
        <v>Control</v>
      </c>
      <c r="E2" t="s">
        <v>1464</v>
      </c>
      <c r="F2" t="s">
        <v>1449</v>
      </c>
      <c r="G2">
        <v>690</v>
      </c>
    </row>
    <row r="3" spans="1:7">
      <c r="A3" s="4" t="s">
        <v>1444</v>
      </c>
      <c r="B3" s="4">
        <f ca="1">COUNTIFS('experiment data'!$C:$C,"Control",'experiment data'!$M:$M,"&gt;0")/COUNTIF('experiment data'!$C:$C,"Control")</f>
        <v>0.14831130690161526</v>
      </c>
      <c r="C3" s="4">
        <f ca="1">COUNTIFS('experiment data'!$C:$C,"Treatment",'experiment data'!$M:$M,"&gt;0")/COUNTIF('experiment data'!$C:$C,"Treatment")</f>
        <v>0.24788732394366197</v>
      </c>
      <c r="D3" t="str">
        <f ca="1">IF(B3&lt;C3,"Control","Treatment")</f>
        <v>Control</v>
      </c>
      <c r="E3" t="s">
        <v>1466</v>
      </c>
      <c r="F3" t="s">
        <v>1450</v>
      </c>
      <c r="G3">
        <v>710</v>
      </c>
    </row>
    <row r="4" spans="1:7" ht="29">
      <c r="A4" s="4" t="s">
        <v>1462</v>
      </c>
      <c r="B4" s="10">
        <f ca="1">AVERAGEIFS('experiment data'!$O:$O,'experiment data'!$C:$C,"Control")</f>
        <v>8.8636363636363633</v>
      </c>
      <c r="C4" s="4">
        <f ca="1">AVERAGEIFS('experiment data'!$O:$O,'experiment data'!$C:$C,"Treatment")</f>
        <v>6.4</v>
      </c>
      <c r="D4" t="str">
        <f ca="1">IF(B4&lt;C4,"Control","Treatment")</f>
        <v>Treatment</v>
      </c>
      <c r="E4" t="s">
        <v>1467</v>
      </c>
      <c r="F4" t="s">
        <v>1451</v>
      </c>
      <c r="G4">
        <v>22</v>
      </c>
    </row>
    <row r="5" spans="1:7">
      <c r="A5" t="s">
        <v>1463</v>
      </c>
      <c r="B5">
        <f ca="1">AVERAGEIFS('experiment data'!$P:$P,'experiment data'!$C:$C,"Control")</f>
        <v>57.102370370370423</v>
      </c>
      <c r="C5">
        <f ca="1">AVERAGEIFS('experiment data'!$P:$P,'experiment data'!$C:$C,"Treatment")</f>
        <v>62.940028490028489</v>
      </c>
      <c r="D5" t="str">
        <f ca="1">IF(B5&gt;C5,"Control","Treatment")</f>
        <v>Treatment</v>
      </c>
      <c r="E5" t="s">
        <v>1468</v>
      </c>
      <c r="F5" t="s">
        <v>1452</v>
      </c>
      <c r="G5">
        <v>50</v>
      </c>
    </row>
    <row r="6" spans="1:7">
      <c r="F6" t="s">
        <v>1453</v>
      </c>
      <c r="G6" s="8">
        <v>3.1899999999999998E-2</v>
      </c>
    </row>
    <row r="7" spans="1:7">
      <c r="F7" t="s">
        <v>1454</v>
      </c>
      <c r="G7" s="8">
        <v>7.0400000000000004E-2</v>
      </c>
    </row>
    <row r="8" spans="1:7">
      <c r="F8" t="s">
        <v>1455</v>
      </c>
    </row>
    <row r="13" spans="1:7">
      <c r="A13" s="4" t="s">
        <v>1445</v>
      </c>
      <c r="B13" s="4" t="s">
        <v>1446</v>
      </c>
    </row>
    <row r="15" spans="1:7">
      <c r="F15" t="s">
        <v>1456</v>
      </c>
    </row>
    <row r="16" spans="1:7">
      <c r="A16" s="7"/>
      <c r="F16" t="s">
        <v>1458</v>
      </c>
    </row>
    <row r="17" spans="6:6">
      <c r="F17" t="s">
        <v>1457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4FBE-D353-4C5D-BE1E-30F57125AC28}">
  <dimension ref="A1:E8"/>
  <sheetViews>
    <sheetView workbookViewId="0">
      <selection activeCell="C3" sqref="C3"/>
    </sheetView>
  </sheetViews>
  <sheetFormatPr defaultRowHeight="14.5"/>
  <cols>
    <col min="1" max="1" width="17" customWidth="1"/>
    <col min="2" max="2" width="13.08984375" customWidth="1"/>
    <col min="3" max="3" width="14.90625" customWidth="1"/>
    <col min="4" max="4" width="13.7265625" customWidth="1"/>
    <col min="5" max="5" width="22.36328125" customWidth="1"/>
  </cols>
  <sheetData>
    <row r="1" spans="1:5">
      <c r="A1" s="3" t="s">
        <v>1439</v>
      </c>
      <c r="B1" s="3" t="s">
        <v>17</v>
      </c>
      <c r="C1" s="3" t="s">
        <v>716</v>
      </c>
      <c r="D1" s="3" t="s">
        <v>1459</v>
      </c>
      <c r="E1" s="3" t="s">
        <v>1465</v>
      </c>
    </row>
    <row r="2" spans="1:5" ht="29">
      <c r="A2" s="4" t="s">
        <v>1460</v>
      </c>
      <c r="B2" s="4">
        <f ca="1">COUNTIF('experiment data'!$C:$C,"Control")</f>
        <v>681</v>
      </c>
      <c r="C2" s="4">
        <f ca="1">COUNTIF('experiment data'!$C:$C,"Treatment")</f>
        <v>710</v>
      </c>
      <c r="D2" s="4" t="str">
        <f ca="1">IF(B2&lt;C2,"Control","Treatment")</f>
        <v>Control</v>
      </c>
      <c r="E2" s="4" t="s">
        <v>1464</v>
      </c>
    </row>
    <row r="3" spans="1:5" ht="29">
      <c r="A3" s="4" t="s">
        <v>1461</v>
      </c>
      <c r="B3" s="4">
        <f ca="1">COUNTIFS('experiment data'!$C:$C,"Control",'experiment data'!$M:$M,"&gt;0")/COUNTIF('experiment data'!$C:$C,"Control")</f>
        <v>0.14831130690161526</v>
      </c>
      <c r="C3" s="4">
        <f ca="1">COUNTIFS('experiment data'!$C:$C,"Treatment",'experiment data'!$M:$M,"&gt;0")/COUNTIF('experiment data'!$C:$C,"Treatment")</f>
        <v>0.24788732394366197</v>
      </c>
      <c r="D3" s="4" t="str">
        <f ca="1">IF(B3&lt;C3,"Control","Treatment")</f>
        <v>Control</v>
      </c>
      <c r="E3" s="4" t="s">
        <v>1466</v>
      </c>
    </row>
    <row r="4" spans="1:5" ht="29">
      <c r="A4" s="4" t="s">
        <v>1462</v>
      </c>
      <c r="B4" s="10">
        <f ca="1">AVERAGEIFS('experiment data'!$O:$O,'experiment data'!$C:$C,"Control")</f>
        <v>8.8636363636363633</v>
      </c>
      <c r="C4" s="4">
        <f ca="1">AVERAGEIFS('experiment data'!$O:$O,'experiment data'!$C:$C,"Treatment")</f>
        <v>6.4</v>
      </c>
      <c r="D4" s="4" t="str">
        <f ca="1">IF(B4&lt;C4,"Control","Treatment")</f>
        <v>Treatment</v>
      </c>
      <c r="E4" s="4" t="s">
        <v>1467</v>
      </c>
    </row>
    <row r="5" spans="1:5" ht="29">
      <c r="A5" s="4" t="s">
        <v>1463</v>
      </c>
      <c r="B5" s="4">
        <f ca="1">AVERAGEIFS('experiment data'!$P:$P,'experiment data'!$C:$C,"Control")</f>
        <v>57.102370370370423</v>
      </c>
      <c r="C5" s="4">
        <f ca="1">AVERAGEIFS('experiment data'!$P:$P,'experiment data'!$C:$C,"Treatment")</f>
        <v>62.940028490028489</v>
      </c>
      <c r="D5" s="4" t="str">
        <f ca="1">IF(B5&gt;C5,"Control","Treatment")</f>
        <v>Treatment</v>
      </c>
      <c r="E5" s="4" t="s">
        <v>1468</v>
      </c>
    </row>
    <row r="8" spans="1:5" ht="16">
      <c r="A8" s="9"/>
      <c r="E8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Quality Check</vt:lpstr>
      <vt:lpstr>experiment data</vt:lpstr>
      <vt:lpstr>Experiment Summary</vt:lpstr>
      <vt:lpstr>Hypothesis Test</vt:lpstr>
      <vt:lpstr>Guardrail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pradhumnabvp@outlook.com</dc:creator>
  <cp:lastModifiedBy>pradhumnabvp@outlook.com</cp:lastModifiedBy>
  <dcterms:created xsi:type="dcterms:W3CDTF">2026-06-24T17:28:12Z</dcterms:created>
  <dcterms:modified xsi:type="dcterms:W3CDTF">2026-06-25T18:35:39Z</dcterms:modified>
</cp:coreProperties>
</file>